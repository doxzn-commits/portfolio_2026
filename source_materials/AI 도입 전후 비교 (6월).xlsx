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pia b\Desktop\마케팅\SEO\"/>
    </mc:Choice>
  </mc:AlternateContent>
  <xr:revisionPtr revIDLastSave="0" documentId="13_ncr:1_{A3051DB2-9CCF-444D-91CC-C28C08303BED}" xr6:coauthVersionLast="44" xr6:coauthVersionMax="44" xr10:uidLastSave="{00000000-0000-0000-0000-000000000000}"/>
  <bookViews>
    <workbookView xWindow="28680" yWindow="-120" windowWidth="29040" windowHeight="15720" activeTab="2" xr2:uid="{FD3D984B-062C-4784-9FBF-6E00227128D8}"/>
  </bookViews>
  <sheets>
    <sheet name="AI 도입 전 성과(5o)" sheetId="4" r:id="rId1"/>
    <sheet name="ai 도입 후 클릭수" sheetId="5" r:id="rId2"/>
    <sheet name="전환수 비교" sheetId="7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2" i="5" l="1"/>
  <c r="E14" i="7" l="1"/>
  <c r="J11" i="7"/>
  <c r="E11" i="7"/>
  <c r="E10" i="7"/>
  <c r="E9" i="7"/>
  <c r="E8" i="7"/>
  <c r="E7" i="7"/>
  <c r="E6" i="7"/>
  <c r="G27" i="7"/>
  <c r="G28" i="7"/>
  <c r="G29" i="7"/>
  <c r="G30" i="7"/>
  <c r="G31" i="7"/>
  <c r="G26" i="7"/>
  <c r="F27" i="7"/>
  <c r="F28" i="7"/>
  <c r="F29" i="7"/>
  <c r="F30" i="7"/>
  <c r="F31" i="7"/>
  <c r="F26" i="7"/>
</calcChain>
</file>

<file path=xl/sharedStrings.xml><?xml version="1.0" encoding="utf-8"?>
<sst xmlns="http://schemas.openxmlformats.org/spreadsheetml/2006/main" count="126" uniqueCount="81">
  <si>
    <t>합계</t>
  </si>
  <si>
    <t>클릭수</t>
  </si>
  <si>
    <t>수입차 신차 현금</t>
  </si>
  <si>
    <t>수입차 신차 할부</t>
  </si>
  <si>
    <t>수입차 신차 리스</t>
  </si>
  <si>
    <t>수입차 신차 렌트</t>
  </si>
  <si>
    <t>시승 문의</t>
  </si>
  <si>
    <t>중고차 무료상담 현금</t>
  </si>
  <si>
    <t>중고차 무료상담 할부</t>
  </si>
  <si>
    <t>중고차 무료상담 리스</t>
  </si>
  <si>
    <t>중고차 무료상담 렌트</t>
  </si>
  <si>
    <t>중고차 1분조회 문의</t>
  </si>
  <si>
    <t>국산차 문의</t>
  </si>
  <si>
    <t>캐시백 문의</t>
  </si>
  <si>
    <t>날짜</t>
  </si>
  <si>
    <t>06월 01일</t>
  </si>
  <si>
    <t>06월 02일</t>
  </si>
  <si>
    <t>06월 03일</t>
  </si>
  <si>
    <t>06월 04일</t>
  </si>
  <si>
    <t>06월 05일</t>
  </si>
  <si>
    <t>06월 06일</t>
  </si>
  <si>
    <t>06월 07일</t>
  </si>
  <si>
    <t>06월 08일</t>
  </si>
  <si>
    <t>06월 09일</t>
  </si>
  <si>
    <t>06월 10일</t>
  </si>
  <si>
    <t>06월 11일</t>
  </si>
  <si>
    <t>06월 12일</t>
  </si>
  <si>
    <t>06월 13일</t>
  </si>
  <si>
    <t>06월 14일</t>
  </si>
  <si>
    <t>06월 15일</t>
  </si>
  <si>
    <t>06월 16일</t>
  </si>
  <si>
    <t>06월 17일</t>
  </si>
  <si>
    <t>06월 18일</t>
  </si>
  <si>
    <t>06월 19일</t>
  </si>
  <si>
    <t>06월 20일</t>
  </si>
  <si>
    <t>06월 21일</t>
  </si>
  <si>
    <t>06월 22일</t>
  </si>
  <si>
    <t>06월 23일</t>
  </si>
  <si>
    <t>06월 24일</t>
  </si>
  <si>
    <t>06월 25일</t>
  </si>
  <si>
    <t>06월 26일</t>
  </si>
  <si>
    <t>06월 27일</t>
  </si>
  <si>
    <t>06월 28일</t>
  </si>
  <si>
    <t>06월 29일</t>
  </si>
  <si>
    <t>수입차 신차 문의</t>
  </si>
  <si>
    <t>중고차 무료상담 문의</t>
  </si>
  <si>
    <t>행 레이블</t>
  </si>
  <si>
    <t>총합계</t>
  </si>
  <si>
    <t>1월</t>
  </si>
  <si>
    <t>2월</t>
  </si>
  <si>
    <t>3월</t>
  </si>
  <si>
    <t>4월</t>
  </si>
  <si>
    <t>5월</t>
  </si>
  <si>
    <t>6월</t>
  </si>
  <si>
    <t>합계 : 클릭수</t>
  </si>
  <si>
    <t>합계</t>
    <phoneticPr fontId="1" type="noConversion"/>
  </si>
  <si>
    <t>합계 : 합계</t>
  </si>
  <si>
    <t>월</t>
    <phoneticPr fontId="1" type="noConversion"/>
  </si>
  <si>
    <t>클릭수</t>
    <phoneticPr fontId="1" type="noConversion"/>
  </si>
  <si>
    <t>전환수</t>
    <phoneticPr fontId="1" type="noConversion"/>
  </si>
  <si>
    <t>전환율</t>
    <phoneticPr fontId="1" type="noConversion"/>
  </si>
  <si>
    <t>트래픽</t>
    <phoneticPr fontId="1" type="noConversion"/>
  </si>
  <si>
    <t>1월</t>
    <phoneticPr fontId="1" type="noConversion"/>
  </si>
  <si>
    <t>2월</t>
    <phoneticPr fontId="1" type="noConversion"/>
  </si>
  <si>
    <t>사용자</t>
    <phoneticPr fontId="1" type="noConversion"/>
  </si>
  <si>
    <t>(링크) https://analytics.google.com/analytics/web/#/a285322186p406872876/reports/explorer?params=_u..nav%3Dmaui%26_u.comparisonOption%3Ddisabled%26_u.date00%3D20260101%26_u.date01%3D20260630%26_r.explorerCard..seldim%3D%5B%22month%22%5D%26_r..dataFilters%3D%5B%7B%22type%22:1,%22fieldName%22:%22sessionCustomChannelGroupingSlot01%22,%22evaluationType%22:1,%22expressionList%22:%5B%22%EA%B5%AC%EA%B8%80_%EC%98%A4%EA%B0%80%EB%8B%89%22%5D,%22complement%22:false,%22isCaseSensitive%22:true,%22expression%22:%22%22%7D,%7B%22type%22:1,%22fieldName%22:%22unifiedPagePathScreen%22,%22evaluationType%22:3,%22expressionList%22:%5B%22board%22%5D,%22complement%22:false,%22isCaseSensitive%22:true,%22expression%22:%22%22%7D%5D%26_r.explorerCard..startRow%3D0%26_r.copa-filter-builder..filter-to-edit%3D%5B%7B%22type%22:1,%22fieldName%22:%22sessionCustomChannelGroupingSlot01%22,%22evaluationType%22:1,%22expressionList%22:%5B%22%EA%B5%AC%EA%B8%80_%EC%98%A4%EA%B0%80%EB%8B%89%22%5D,%22complement%22:false,%22isCaseSensitive%22:true,%22expression%22:%22%22%7D%5D&amp;ruid=6DF39E70-0E1D-430B-AF95-6CEEB463E9CA&amp;collectionId=12340981133&amp;r=12462593684</t>
    <phoneticPr fontId="1" type="noConversion"/>
  </si>
  <si>
    <t>구글 오가닉 &gt; BOARD 수집 필터링</t>
    <phoneticPr fontId="1" type="noConversion"/>
  </si>
  <si>
    <t>클릭율</t>
    <phoneticPr fontId="1" type="noConversion"/>
  </si>
  <si>
    <t>new</t>
    <phoneticPr fontId="1" type="noConversion"/>
  </si>
  <si>
    <t>old</t>
    <phoneticPr fontId="1" type="noConversion"/>
  </si>
  <si>
    <t>2. 구글 GA 트래픽 기반 비교</t>
    <phoneticPr fontId="1" type="noConversion"/>
  </si>
  <si>
    <t>전월 대비 클릭수 16 &gt; 306 으로 887% 성장</t>
    <phoneticPr fontId="1" type="noConversion"/>
  </si>
  <si>
    <t>5월</t>
    <phoneticPr fontId="1" type="noConversion"/>
  </si>
  <si>
    <t>6월</t>
    <phoneticPr fontId="1" type="noConversion"/>
  </si>
  <si>
    <t>성장률</t>
    <phoneticPr fontId="1" type="noConversion"/>
  </si>
  <si>
    <t>항목</t>
    <phoneticPr fontId="1" type="noConversion"/>
  </si>
  <si>
    <t>.</t>
    <phoneticPr fontId="1" type="noConversion"/>
  </si>
  <si>
    <t>1. 내부 게시판 링크별 비교</t>
    <phoneticPr fontId="1" type="noConversion"/>
  </si>
  <si>
    <t>-</t>
    <phoneticPr fontId="1" type="noConversion"/>
  </si>
  <si>
    <t>*클릭수 : 게시글 조회수가 아닌, CTA 버튼 클릭 수</t>
    <phoneticPr fontId="1" type="noConversion"/>
  </si>
  <si>
    <t>06월 30일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</si>
</sst>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9" fontId="0" fillId="0" borderId="0" xfId="1" applyFont="1">
      <alignment vertical="center"/>
    </xf>
    <xf numFmtId="9" fontId="0" fillId="0" borderId="0" xfId="1" applyNumberFormat="1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>
      <alignment vertical="center"/>
    </xf>
    <xf numFmtId="9" fontId="0" fillId="0" borderId="1" xfId="1" applyNumberFormat="1" applyFont="1" applyBorder="1">
      <alignment vertical="center"/>
    </xf>
    <xf numFmtId="176" fontId="0" fillId="0" borderId="1" xfId="1" applyNumberFormat="1" applyFont="1" applyBorder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NumberFormat="1" applyFont="1" applyBorder="1">
      <alignment vertical="center"/>
    </xf>
    <xf numFmtId="0" fontId="0" fillId="0" borderId="0" xfId="0" applyBorder="1">
      <alignment vertical="center"/>
    </xf>
    <xf numFmtId="177" fontId="0" fillId="0" borderId="0" xfId="1" applyNumberFormat="1" applyFont="1" applyBorder="1">
      <alignment vertical="center"/>
    </xf>
    <xf numFmtId="176" fontId="0" fillId="0" borderId="0" xfId="1" applyNumberFormat="1" applyFont="1" applyBorder="1">
      <alignment vertical="center"/>
    </xf>
    <xf numFmtId="0" fontId="3" fillId="0" borderId="0" xfId="0" applyNumberFormat="1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NumberFormat="1" applyFont="1" applyFill="1" applyBorder="1">
      <alignment vertical="center"/>
    </xf>
    <xf numFmtId="9" fontId="0" fillId="0" borderId="1" xfId="1" applyFont="1" applyBorder="1">
      <alignment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NumberFormat="1" applyFont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>
      <alignment vertical="center"/>
    </xf>
    <xf numFmtId="9" fontId="0" fillId="2" borderId="1" xfId="1" applyNumberFormat="1" applyFont="1" applyFill="1" applyBorder="1">
      <alignment vertical="center"/>
    </xf>
    <xf numFmtId="0" fontId="0" fillId="2" borderId="1" xfId="0" applyFill="1" applyBorder="1">
      <alignment vertical="center"/>
    </xf>
    <xf numFmtId="177" fontId="0" fillId="2" borderId="1" xfId="1" applyNumberFormat="1" applyFont="1" applyFill="1" applyBorder="1">
      <alignment vertical="center"/>
    </xf>
    <xf numFmtId="176" fontId="0" fillId="2" borderId="1" xfId="1" applyNumberFormat="1" applyFont="1" applyFill="1" applyBorder="1">
      <alignment vertical="center"/>
    </xf>
    <xf numFmtId="0" fontId="7" fillId="0" borderId="0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20</xdr:row>
      <xdr:rowOff>95250</xdr:rowOff>
    </xdr:from>
    <xdr:to>
      <xdr:col>9</xdr:col>
      <xdr:colOff>5560</xdr:colOff>
      <xdr:row>30</xdr:row>
      <xdr:rowOff>208988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7F0A4B8-8D92-46C0-A813-C2B00C448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81575" y="3895725"/>
          <a:ext cx="1196185" cy="23044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pia b" refreshedDate="46202.725121643518" createdVersion="6" refreshedVersion="6" minRefreshableVersion="3" recordCount="180" xr:uid="{697FE743-4D0B-4DF1-A362-74837202CEB2}">
  <cacheSource type="worksheet">
    <worksheetSource ref="A1:O181" sheet="AI 도입 전 성과(5o)"/>
  </cacheSource>
  <cacheFields count="16">
    <cacheField name="날짜" numFmtId="14">
      <sharedItems containsSemiMixedTypes="0" containsNonDate="0" containsDate="1" containsString="0" minDate="2026-01-01T00:00:00" maxDate="2026-06-30T00:00:00" count="180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</sharedItems>
      <fieldGroup par="15" base="0">
        <rangePr groupBy="days" startDate="2026-01-01T00:00:00" endDate="2026-06-30T00:00:00"/>
        <groupItems count="368">
          <s v="&lt;2026-01-01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6-06-30"/>
        </groupItems>
      </fieldGroup>
    </cacheField>
    <cacheField name="클릭수" numFmtId="0">
      <sharedItems containsSemiMixedTypes="0" containsString="0" containsNumber="1" containsInteger="1" minValue="0" maxValue="6"/>
    </cacheField>
    <cacheField name="수입차 신차 현금" numFmtId="0">
      <sharedItems containsSemiMixedTypes="0" containsString="0" containsNumber="1" containsInteger="1" minValue="0" maxValue="4"/>
    </cacheField>
    <cacheField name="수입차 신차 할부" numFmtId="0">
      <sharedItems containsSemiMixedTypes="0" containsString="0" containsNumber="1" containsInteger="1" minValue="0" maxValue="2"/>
    </cacheField>
    <cacheField name="수입차 신차 리스" numFmtId="0">
      <sharedItems containsSemiMixedTypes="0" containsString="0" containsNumber="1" containsInteger="1" minValue="0" maxValue="0"/>
    </cacheField>
    <cacheField name="수입차 신차 렌트" numFmtId="0">
      <sharedItems containsSemiMixedTypes="0" containsString="0" containsNumber="1" containsInteger="1" minValue="0" maxValue="0"/>
    </cacheField>
    <cacheField name="시승 문의" numFmtId="0">
      <sharedItems containsSemiMixedTypes="0" containsString="0" containsNumber="1" containsInteger="1" minValue="0" maxValue="0"/>
    </cacheField>
    <cacheField name="중고차 무료상담 현금" numFmtId="0">
      <sharedItems containsSemiMixedTypes="0" containsString="0" containsNumber="1" containsInteger="1" minValue="0" maxValue="0"/>
    </cacheField>
    <cacheField name="중고차 무료상담 할부" numFmtId="0">
      <sharedItems containsSemiMixedTypes="0" containsString="0" containsNumber="1" containsInteger="1" minValue="0" maxValue="0"/>
    </cacheField>
    <cacheField name="중고차 무료상담 리스" numFmtId="0">
      <sharedItems containsSemiMixedTypes="0" containsString="0" containsNumber="1" containsInteger="1" minValue="0" maxValue="0"/>
    </cacheField>
    <cacheField name="중고차 무료상담 렌트" numFmtId="0">
      <sharedItems containsSemiMixedTypes="0" containsString="0" containsNumber="1" containsInteger="1" minValue="0" maxValue="0"/>
    </cacheField>
    <cacheField name="중고차 1분조회 문의" numFmtId="0">
      <sharedItems containsSemiMixedTypes="0" containsString="0" containsNumber="1" containsInteger="1" minValue="0" maxValue="0"/>
    </cacheField>
    <cacheField name="국산차 문의" numFmtId="0">
      <sharedItems containsSemiMixedTypes="0" containsString="0" containsNumber="1" containsInteger="1" minValue="0" maxValue="0"/>
    </cacheField>
    <cacheField name="캐시백 문의" numFmtId="0">
      <sharedItems containsSemiMixedTypes="0" containsString="0" containsNumber="1" containsInteger="1" minValue="0" maxValue="0"/>
    </cacheField>
    <cacheField name="합계" numFmtId="0">
      <sharedItems containsSemiMixedTypes="0" containsString="0" containsNumber="1" containsInteger="1" minValue="0" maxValue="6"/>
    </cacheField>
    <cacheField name="월" numFmtId="0" databaseField="0">
      <fieldGroup base="0">
        <rangePr groupBy="months" startDate="2026-01-01T00:00:00" endDate="2026-06-30T00:00:00"/>
        <groupItems count="14">
          <s v="&lt;2026-01-0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6-06-3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n v="0"/>
    <n v="0"/>
    <n v="0"/>
    <n v="0"/>
    <n v="0"/>
    <n v="0"/>
    <n v="0"/>
    <n v="0"/>
    <n v="0"/>
    <n v="0"/>
    <n v="0"/>
    <n v="0"/>
    <n v="0"/>
    <n v="0"/>
  </r>
  <r>
    <x v="1"/>
    <n v="0"/>
    <n v="0"/>
    <n v="0"/>
    <n v="0"/>
    <n v="0"/>
    <n v="0"/>
    <n v="0"/>
    <n v="0"/>
    <n v="0"/>
    <n v="0"/>
    <n v="0"/>
    <n v="0"/>
    <n v="0"/>
    <n v="0"/>
  </r>
  <r>
    <x v="2"/>
    <n v="0"/>
    <n v="0"/>
    <n v="0"/>
    <n v="0"/>
    <n v="0"/>
    <n v="0"/>
    <n v="0"/>
    <n v="0"/>
    <n v="0"/>
    <n v="0"/>
    <n v="0"/>
    <n v="0"/>
    <n v="0"/>
    <n v="0"/>
  </r>
  <r>
    <x v="3"/>
    <n v="0"/>
    <n v="0"/>
    <n v="0"/>
    <n v="0"/>
    <n v="0"/>
    <n v="0"/>
    <n v="0"/>
    <n v="0"/>
    <n v="0"/>
    <n v="0"/>
    <n v="0"/>
    <n v="0"/>
    <n v="0"/>
    <n v="0"/>
  </r>
  <r>
    <x v="4"/>
    <n v="0"/>
    <n v="0"/>
    <n v="0"/>
    <n v="0"/>
    <n v="0"/>
    <n v="0"/>
    <n v="0"/>
    <n v="0"/>
    <n v="0"/>
    <n v="0"/>
    <n v="0"/>
    <n v="0"/>
    <n v="0"/>
    <n v="0"/>
  </r>
  <r>
    <x v="5"/>
    <n v="0"/>
    <n v="0"/>
    <n v="0"/>
    <n v="0"/>
    <n v="0"/>
    <n v="0"/>
    <n v="0"/>
    <n v="0"/>
    <n v="0"/>
    <n v="0"/>
    <n v="0"/>
    <n v="0"/>
    <n v="0"/>
    <n v="0"/>
  </r>
  <r>
    <x v="6"/>
    <n v="1"/>
    <n v="0"/>
    <n v="0"/>
    <n v="0"/>
    <n v="0"/>
    <n v="0"/>
    <n v="0"/>
    <n v="0"/>
    <n v="0"/>
    <n v="0"/>
    <n v="0"/>
    <n v="0"/>
    <n v="0"/>
    <n v="0"/>
  </r>
  <r>
    <x v="7"/>
    <n v="0"/>
    <n v="0"/>
    <n v="0"/>
    <n v="0"/>
    <n v="0"/>
    <n v="0"/>
    <n v="0"/>
    <n v="0"/>
    <n v="0"/>
    <n v="0"/>
    <n v="0"/>
    <n v="0"/>
    <n v="0"/>
    <n v="0"/>
  </r>
  <r>
    <x v="8"/>
    <n v="1"/>
    <n v="0"/>
    <n v="0"/>
    <n v="0"/>
    <n v="0"/>
    <n v="0"/>
    <n v="0"/>
    <n v="0"/>
    <n v="0"/>
    <n v="0"/>
    <n v="0"/>
    <n v="0"/>
    <n v="0"/>
    <n v="0"/>
  </r>
  <r>
    <x v="9"/>
    <n v="0"/>
    <n v="0"/>
    <n v="0"/>
    <n v="0"/>
    <n v="0"/>
    <n v="0"/>
    <n v="0"/>
    <n v="0"/>
    <n v="0"/>
    <n v="0"/>
    <n v="0"/>
    <n v="0"/>
    <n v="0"/>
    <n v="0"/>
  </r>
  <r>
    <x v="10"/>
    <n v="1"/>
    <n v="0"/>
    <n v="0"/>
    <n v="0"/>
    <n v="0"/>
    <n v="0"/>
    <n v="0"/>
    <n v="0"/>
    <n v="0"/>
    <n v="0"/>
    <n v="0"/>
    <n v="0"/>
    <n v="0"/>
    <n v="0"/>
  </r>
  <r>
    <x v="11"/>
    <n v="3"/>
    <n v="1"/>
    <n v="0"/>
    <n v="0"/>
    <n v="0"/>
    <n v="0"/>
    <n v="0"/>
    <n v="0"/>
    <n v="0"/>
    <n v="0"/>
    <n v="0"/>
    <n v="0"/>
    <n v="0"/>
    <n v="1"/>
  </r>
  <r>
    <x v="12"/>
    <n v="0"/>
    <n v="0"/>
    <n v="0"/>
    <n v="0"/>
    <n v="0"/>
    <n v="0"/>
    <n v="0"/>
    <n v="0"/>
    <n v="0"/>
    <n v="0"/>
    <n v="0"/>
    <n v="0"/>
    <n v="0"/>
    <n v="0"/>
  </r>
  <r>
    <x v="13"/>
    <n v="0"/>
    <n v="0"/>
    <n v="0"/>
    <n v="0"/>
    <n v="0"/>
    <n v="0"/>
    <n v="0"/>
    <n v="0"/>
    <n v="0"/>
    <n v="0"/>
    <n v="0"/>
    <n v="0"/>
    <n v="0"/>
    <n v="0"/>
  </r>
  <r>
    <x v="14"/>
    <n v="0"/>
    <n v="0"/>
    <n v="0"/>
    <n v="0"/>
    <n v="0"/>
    <n v="0"/>
    <n v="0"/>
    <n v="0"/>
    <n v="0"/>
    <n v="0"/>
    <n v="0"/>
    <n v="0"/>
    <n v="0"/>
    <n v="0"/>
  </r>
  <r>
    <x v="15"/>
    <n v="0"/>
    <n v="0"/>
    <n v="0"/>
    <n v="0"/>
    <n v="0"/>
    <n v="0"/>
    <n v="0"/>
    <n v="0"/>
    <n v="0"/>
    <n v="0"/>
    <n v="0"/>
    <n v="0"/>
    <n v="0"/>
    <n v="0"/>
  </r>
  <r>
    <x v="16"/>
    <n v="1"/>
    <n v="0"/>
    <n v="0"/>
    <n v="0"/>
    <n v="0"/>
    <n v="0"/>
    <n v="0"/>
    <n v="0"/>
    <n v="0"/>
    <n v="0"/>
    <n v="0"/>
    <n v="0"/>
    <n v="0"/>
    <n v="0"/>
  </r>
  <r>
    <x v="17"/>
    <n v="0"/>
    <n v="0"/>
    <n v="0"/>
    <n v="0"/>
    <n v="0"/>
    <n v="0"/>
    <n v="0"/>
    <n v="0"/>
    <n v="0"/>
    <n v="0"/>
    <n v="0"/>
    <n v="0"/>
    <n v="0"/>
    <n v="0"/>
  </r>
  <r>
    <x v="18"/>
    <n v="0"/>
    <n v="0"/>
    <n v="0"/>
    <n v="0"/>
    <n v="0"/>
    <n v="0"/>
    <n v="0"/>
    <n v="0"/>
    <n v="0"/>
    <n v="0"/>
    <n v="0"/>
    <n v="0"/>
    <n v="0"/>
    <n v="0"/>
  </r>
  <r>
    <x v="19"/>
    <n v="0"/>
    <n v="0"/>
    <n v="0"/>
    <n v="0"/>
    <n v="0"/>
    <n v="0"/>
    <n v="0"/>
    <n v="0"/>
    <n v="0"/>
    <n v="0"/>
    <n v="0"/>
    <n v="0"/>
    <n v="0"/>
    <n v="0"/>
  </r>
  <r>
    <x v="20"/>
    <n v="1"/>
    <n v="0"/>
    <n v="0"/>
    <n v="0"/>
    <n v="0"/>
    <n v="0"/>
    <n v="0"/>
    <n v="0"/>
    <n v="0"/>
    <n v="0"/>
    <n v="0"/>
    <n v="0"/>
    <n v="0"/>
    <n v="0"/>
  </r>
  <r>
    <x v="21"/>
    <n v="0"/>
    <n v="0"/>
    <n v="0"/>
    <n v="0"/>
    <n v="0"/>
    <n v="0"/>
    <n v="0"/>
    <n v="0"/>
    <n v="0"/>
    <n v="0"/>
    <n v="0"/>
    <n v="0"/>
    <n v="0"/>
    <n v="0"/>
  </r>
  <r>
    <x v="22"/>
    <n v="0"/>
    <n v="0"/>
    <n v="0"/>
    <n v="0"/>
    <n v="0"/>
    <n v="0"/>
    <n v="0"/>
    <n v="0"/>
    <n v="0"/>
    <n v="0"/>
    <n v="0"/>
    <n v="0"/>
    <n v="0"/>
    <n v="0"/>
  </r>
  <r>
    <x v="23"/>
    <n v="0"/>
    <n v="0"/>
    <n v="0"/>
    <n v="0"/>
    <n v="0"/>
    <n v="0"/>
    <n v="0"/>
    <n v="0"/>
    <n v="0"/>
    <n v="0"/>
    <n v="0"/>
    <n v="0"/>
    <n v="0"/>
    <n v="0"/>
  </r>
  <r>
    <x v="24"/>
    <n v="0"/>
    <n v="0"/>
    <n v="0"/>
    <n v="0"/>
    <n v="0"/>
    <n v="0"/>
    <n v="0"/>
    <n v="0"/>
    <n v="0"/>
    <n v="0"/>
    <n v="0"/>
    <n v="0"/>
    <n v="0"/>
    <n v="0"/>
  </r>
  <r>
    <x v="25"/>
    <n v="0"/>
    <n v="0"/>
    <n v="0"/>
    <n v="0"/>
    <n v="0"/>
    <n v="0"/>
    <n v="0"/>
    <n v="0"/>
    <n v="0"/>
    <n v="0"/>
    <n v="0"/>
    <n v="0"/>
    <n v="0"/>
    <n v="0"/>
  </r>
  <r>
    <x v="26"/>
    <n v="0"/>
    <n v="0"/>
    <n v="0"/>
    <n v="0"/>
    <n v="0"/>
    <n v="0"/>
    <n v="0"/>
    <n v="0"/>
    <n v="0"/>
    <n v="0"/>
    <n v="0"/>
    <n v="0"/>
    <n v="0"/>
    <n v="0"/>
  </r>
  <r>
    <x v="27"/>
    <n v="0"/>
    <n v="0"/>
    <n v="0"/>
    <n v="0"/>
    <n v="0"/>
    <n v="0"/>
    <n v="0"/>
    <n v="0"/>
    <n v="0"/>
    <n v="0"/>
    <n v="0"/>
    <n v="0"/>
    <n v="0"/>
    <n v="0"/>
  </r>
  <r>
    <x v="28"/>
    <n v="0"/>
    <n v="0"/>
    <n v="0"/>
    <n v="0"/>
    <n v="0"/>
    <n v="0"/>
    <n v="0"/>
    <n v="0"/>
    <n v="0"/>
    <n v="0"/>
    <n v="0"/>
    <n v="0"/>
    <n v="0"/>
    <n v="0"/>
  </r>
  <r>
    <x v="29"/>
    <n v="0"/>
    <n v="0"/>
    <n v="0"/>
    <n v="0"/>
    <n v="0"/>
    <n v="0"/>
    <n v="0"/>
    <n v="0"/>
    <n v="0"/>
    <n v="0"/>
    <n v="0"/>
    <n v="0"/>
    <n v="0"/>
    <n v="0"/>
  </r>
  <r>
    <x v="30"/>
    <n v="0"/>
    <n v="0"/>
    <n v="0"/>
    <n v="0"/>
    <n v="0"/>
    <n v="0"/>
    <n v="0"/>
    <n v="0"/>
    <n v="0"/>
    <n v="0"/>
    <n v="0"/>
    <n v="0"/>
    <n v="0"/>
    <n v="0"/>
  </r>
  <r>
    <x v="31"/>
    <n v="0"/>
    <n v="0"/>
    <n v="0"/>
    <n v="0"/>
    <n v="0"/>
    <n v="0"/>
    <n v="0"/>
    <n v="0"/>
    <n v="0"/>
    <n v="0"/>
    <n v="0"/>
    <n v="0"/>
    <n v="0"/>
    <n v="0"/>
  </r>
  <r>
    <x v="32"/>
    <n v="0"/>
    <n v="0"/>
    <n v="0"/>
    <n v="0"/>
    <n v="0"/>
    <n v="0"/>
    <n v="0"/>
    <n v="0"/>
    <n v="0"/>
    <n v="0"/>
    <n v="0"/>
    <n v="0"/>
    <n v="0"/>
    <n v="0"/>
  </r>
  <r>
    <x v="33"/>
    <n v="0"/>
    <n v="0"/>
    <n v="0"/>
    <n v="0"/>
    <n v="0"/>
    <n v="0"/>
    <n v="0"/>
    <n v="0"/>
    <n v="0"/>
    <n v="0"/>
    <n v="0"/>
    <n v="0"/>
    <n v="0"/>
    <n v="0"/>
  </r>
  <r>
    <x v="34"/>
    <n v="0"/>
    <n v="0"/>
    <n v="0"/>
    <n v="0"/>
    <n v="0"/>
    <n v="0"/>
    <n v="0"/>
    <n v="0"/>
    <n v="0"/>
    <n v="0"/>
    <n v="0"/>
    <n v="0"/>
    <n v="0"/>
    <n v="0"/>
  </r>
  <r>
    <x v="35"/>
    <n v="0"/>
    <n v="0"/>
    <n v="0"/>
    <n v="0"/>
    <n v="0"/>
    <n v="0"/>
    <n v="0"/>
    <n v="0"/>
    <n v="0"/>
    <n v="0"/>
    <n v="0"/>
    <n v="0"/>
    <n v="0"/>
    <n v="0"/>
  </r>
  <r>
    <x v="36"/>
    <n v="0"/>
    <n v="0"/>
    <n v="0"/>
    <n v="0"/>
    <n v="0"/>
    <n v="0"/>
    <n v="0"/>
    <n v="0"/>
    <n v="0"/>
    <n v="0"/>
    <n v="0"/>
    <n v="0"/>
    <n v="0"/>
    <n v="0"/>
  </r>
  <r>
    <x v="37"/>
    <n v="0"/>
    <n v="0"/>
    <n v="0"/>
    <n v="0"/>
    <n v="0"/>
    <n v="0"/>
    <n v="0"/>
    <n v="0"/>
    <n v="0"/>
    <n v="0"/>
    <n v="0"/>
    <n v="0"/>
    <n v="0"/>
    <n v="0"/>
  </r>
  <r>
    <x v="38"/>
    <n v="1"/>
    <n v="0"/>
    <n v="0"/>
    <n v="0"/>
    <n v="0"/>
    <n v="0"/>
    <n v="0"/>
    <n v="0"/>
    <n v="0"/>
    <n v="0"/>
    <n v="0"/>
    <n v="0"/>
    <n v="0"/>
    <n v="0"/>
  </r>
  <r>
    <x v="39"/>
    <n v="0"/>
    <n v="0"/>
    <n v="0"/>
    <n v="0"/>
    <n v="0"/>
    <n v="0"/>
    <n v="0"/>
    <n v="0"/>
    <n v="0"/>
    <n v="0"/>
    <n v="0"/>
    <n v="0"/>
    <n v="0"/>
    <n v="0"/>
  </r>
  <r>
    <x v="40"/>
    <n v="2"/>
    <n v="0"/>
    <n v="0"/>
    <n v="0"/>
    <n v="0"/>
    <n v="0"/>
    <n v="0"/>
    <n v="0"/>
    <n v="0"/>
    <n v="0"/>
    <n v="0"/>
    <n v="0"/>
    <n v="0"/>
    <n v="0"/>
  </r>
  <r>
    <x v="41"/>
    <n v="0"/>
    <n v="0"/>
    <n v="0"/>
    <n v="0"/>
    <n v="0"/>
    <n v="0"/>
    <n v="0"/>
    <n v="0"/>
    <n v="0"/>
    <n v="0"/>
    <n v="0"/>
    <n v="0"/>
    <n v="0"/>
    <n v="0"/>
  </r>
  <r>
    <x v="42"/>
    <n v="0"/>
    <n v="0"/>
    <n v="0"/>
    <n v="0"/>
    <n v="0"/>
    <n v="0"/>
    <n v="0"/>
    <n v="0"/>
    <n v="0"/>
    <n v="0"/>
    <n v="0"/>
    <n v="0"/>
    <n v="0"/>
    <n v="0"/>
  </r>
  <r>
    <x v="43"/>
    <n v="2"/>
    <n v="1"/>
    <n v="0"/>
    <n v="0"/>
    <n v="0"/>
    <n v="0"/>
    <n v="0"/>
    <n v="0"/>
    <n v="0"/>
    <n v="0"/>
    <n v="0"/>
    <n v="0"/>
    <n v="0"/>
    <n v="1"/>
  </r>
  <r>
    <x v="44"/>
    <n v="1"/>
    <n v="0"/>
    <n v="0"/>
    <n v="0"/>
    <n v="0"/>
    <n v="0"/>
    <n v="0"/>
    <n v="0"/>
    <n v="0"/>
    <n v="0"/>
    <n v="0"/>
    <n v="0"/>
    <n v="0"/>
    <n v="0"/>
  </r>
  <r>
    <x v="45"/>
    <n v="0"/>
    <n v="0"/>
    <n v="0"/>
    <n v="0"/>
    <n v="0"/>
    <n v="0"/>
    <n v="0"/>
    <n v="0"/>
    <n v="0"/>
    <n v="0"/>
    <n v="0"/>
    <n v="0"/>
    <n v="0"/>
    <n v="0"/>
  </r>
  <r>
    <x v="46"/>
    <n v="0"/>
    <n v="0"/>
    <n v="0"/>
    <n v="0"/>
    <n v="0"/>
    <n v="0"/>
    <n v="0"/>
    <n v="0"/>
    <n v="0"/>
    <n v="0"/>
    <n v="0"/>
    <n v="0"/>
    <n v="0"/>
    <n v="0"/>
  </r>
  <r>
    <x v="47"/>
    <n v="0"/>
    <n v="0"/>
    <n v="0"/>
    <n v="0"/>
    <n v="0"/>
    <n v="0"/>
    <n v="0"/>
    <n v="0"/>
    <n v="0"/>
    <n v="0"/>
    <n v="0"/>
    <n v="0"/>
    <n v="0"/>
    <n v="0"/>
  </r>
  <r>
    <x v="48"/>
    <n v="0"/>
    <n v="0"/>
    <n v="0"/>
    <n v="0"/>
    <n v="0"/>
    <n v="0"/>
    <n v="0"/>
    <n v="0"/>
    <n v="0"/>
    <n v="0"/>
    <n v="0"/>
    <n v="0"/>
    <n v="0"/>
    <n v="0"/>
  </r>
  <r>
    <x v="49"/>
    <n v="0"/>
    <n v="0"/>
    <n v="0"/>
    <n v="0"/>
    <n v="0"/>
    <n v="0"/>
    <n v="0"/>
    <n v="0"/>
    <n v="0"/>
    <n v="0"/>
    <n v="0"/>
    <n v="0"/>
    <n v="0"/>
    <n v="0"/>
  </r>
  <r>
    <x v="50"/>
    <n v="1"/>
    <n v="0"/>
    <n v="0"/>
    <n v="0"/>
    <n v="0"/>
    <n v="0"/>
    <n v="0"/>
    <n v="0"/>
    <n v="0"/>
    <n v="0"/>
    <n v="0"/>
    <n v="0"/>
    <n v="0"/>
    <n v="0"/>
  </r>
  <r>
    <x v="51"/>
    <n v="0"/>
    <n v="0"/>
    <n v="0"/>
    <n v="0"/>
    <n v="0"/>
    <n v="0"/>
    <n v="0"/>
    <n v="0"/>
    <n v="0"/>
    <n v="0"/>
    <n v="0"/>
    <n v="0"/>
    <n v="0"/>
    <n v="0"/>
  </r>
  <r>
    <x v="52"/>
    <n v="0"/>
    <n v="0"/>
    <n v="0"/>
    <n v="0"/>
    <n v="0"/>
    <n v="0"/>
    <n v="0"/>
    <n v="0"/>
    <n v="0"/>
    <n v="0"/>
    <n v="0"/>
    <n v="0"/>
    <n v="0"/>
    <n v="0"/>
  </r>
  <r>
    <x v="53"/>
    <n v="0"/>
    <n v="0"/>
    <n v="0"/>
    <n v="0"/>
    <n v="0"/>
    <n v="0"/>
    <n v="0"/>
    <n v="0"/>
    <n v="0"/>
    <n v="0"/>
    <n v="0"/>
    <n v="0"/>
    <n v="0"/>
    <n v="0"/>
  </r>
  <r>
    <x v="54"/>
    <n v="0"/>
    <n v="0"/>
    <n v="0"/>
    <n v="0"/>
    <n v="0"/>
    <n v="0"/>
    <n v="0"/>
    <n v="0"/>
    <n v="0"/>
    <n v="0"/>
    <n v="0"/>
    <n v="0"/>
    <n v="0"/>
    <n v="0"/>
  </r>
  <r>
    <x v="55"/>
    <n v="0"/>
    <n v="0"/>
    <n v="0"/>
    <n v="0"/>
    <n v="0"/>
    <n v="0"/>
    <n v="0"/>
    <n v="0"/>
    <n v="0"/>
    <n v="0"/>
    <n v="0"/>
    <n v="0"/>
    <n v="0"/>
    <n v="0"/>
  </r>
  <r>
    <x v="56"/>
    <n v="0"/>
    <n v="0"/>
    <n v="0"/>
    <n v="0"/>
    <n v="0"/>
    <n v="0"/>
    <n v="0"/>
    <n v="0"/>
    <n v="0"/>
    <n v="0"/>
    <n v="0"/>
    <n v="0"/>
    <n v="0"/>
    <n v="0"/>
  </r>
  <r>
    <x v="57"/>
    <n v="0"/>
    <n v="0"/>
    <n v="0"/>
    <n v="0"/>
    <n v="0"/>
    <n v="0"/>
    <n v="0"/>
    <n v="0"/>
    <n v="0"/>
    <n v="0"/>
    <n v="0"/>
    <n v="0"/>
    <n v="0"/>
    <n v="0"/>
  </r>
  <r>
    <x v="58"/>
    <n v="0"/>
    <n v="0"/>
    <n v="0"/>
    <n v="0"/>
    <n v="0"/>
    <n v="0"/>
    <n v="0"/>
    <n v="0"/>
    <n v="0"/>
    <n v="0"/>
    <n v="0"/>
    <n v="0"/>
    <n v="0"/>
    <n v="0"/>
  </r>
  <r>
    <x v="59"/>
    <n v="0"/>
    <n v="0"/>
    <n v="0"/>
    <n v="0"/>
    <n v="0"/>
    <n v="0"/>
    <n v="0"/>
    <n v="0"/>
    <n v="0"/>
    <n v="0"/>
    <n v="0"/>
    <n v="0"/>
    <n v="0"/>
    <n v="0"/>
  </r>
  <r>
    <x v="60"/>
    <n v="0"/>
    <n v="0"/>
    <n v="0"/>
    <n v="0"/>
    <n v="0"/>
    <n v="0"/>
    <n v="0"/>
    <n v="0"/>
    <n v="0"/>
    <n v="0"/>
    <n v="0"/>
    <n v="0"/>
    <n v="0"/>
    <n v="0"/>
  </r>
  <r>
    <x v="61"/>
    <n v="0"/>
    <n v="0"/>
    <n v="0"/>
    <n v="0"/>
    <n v="0"/>
    <n v="0"/>
    <n v="0"/>
    <n v="0"/>
    <n v="0"/>
    <n v="0"/>
    <n v="0"/>
    <n v="0"/>
    <n v="0"/>
    <n v="0"/>
  </r>
  <r>
    <x v="62"/>
    <n v="0"/>
    <n v="0"/>
    <n v="0"/>
    <n v="0"/>
    <n v="0"/>
    <n v="0"/>
    <n v="0"/>
    <n v="0"/>
    <n v="0"/>
    <n v="0"/>
    <n v="0"/>
    <n v="0"/>
    <n v="0"/>
    <n v="0"/>
  </r>
  <r>
    <x v="63"/>
    <n v="3"/>
    <n v="0"/>
    <n v="0"/>
    <n v="0"/>
    <n v="0"/>
    <n v="0"/>
    <n v="0"/>
    <n v="0"/>
    <n v="0"/>
    <n v="0"/>
    <n v="0"/>
    <n v="0"/>
    <n v="0"/>
    <n v="0"/>
  </r>
  <r>
    <x v="64"/>
    <n v="0"/>
    <n v="0"/>
    <n v="0"/>
    <n v="0"/>
    <n v="0"/>
    <n v="0"/>
    <n v="0"/>
    <n v="0"/>
    <n v="0"/>
    <n v="0"/>
    <n v="0"/>
    <n v="0"/>
    <n v="0"/>
    <n v="0"/>
  </r>
  <r>
    <x v="65"/>
    <n v="0"/>
    <n v="0"/>
    <n v="0"/>
    <n v="0"/>
    <n v="0"/>
    <n v="0"/>
    <n v="0"/>
    <n v="0"/>
    <n v="0"/>
    <n v="0"/>
    <n v="0"/>
    <n v="0"/>
    <n v="0"/>
    <n v="0"/>
  </r>
  <r>
    <x v="66"/>
    <n v="0"/>
    <n v="0"/>
    <n v="0"/>
    <n v="0"/>
    <n v="0"/>
    <n v="0"/>
    <n v="0"/>
    <n v="0"/>
    <n v="0"/>
    <n v="0"/>
    <n v="0"/>
    <n v="0"/>
    <n v="0"/>
    <n v="0"/>
  </r>
  <r>
    <x v="67"/>
    <n v="0"/>
    <n v="0"/>
    <n v="0"/>
    <n v="0"/>
    <n v="0"/>
    <n v="0"/>
    <n v="0"/>
    <n v="0"/>
    <n v="0"/>
    <n v="0"/>
    <n v="0"/>
    <n v="0"/>
    <n v="0"/>
    <n v="0"/>
  </r>
  <r>
    <x v="68"/>
    <n v="0"/>
    <n v="0"/>
    <n v="0"/>
    <n v="0"/>
    <n v="0"/>
    <n v="0"/>
    <n v="0"/>
    <n v="0"/>
    <n v="0"/>
    <n v="0"/>
    <n v="0"/>
    <n v="0"/>
    <n v="0"/>
    <n v="0"/>
  </r>
  <r>
    <x v="69"/>
    <n v="0"/>
    <n v="0"/>
    <n v="0"/>
    <n v="0"/>
    <n v="0"/>
    <n v="0"/>
    <n v="0"/>
    <n v="0"/>
    <n v="0"/>
    <n v="0"/>
    <n v="0"/>
    <n v="0"/>
    <n v="0"/>
    <n v="0"/>
  </r>
  <r>
    <x v="70"/>
    <n v="1"/>
    <n v="0"/>
    <n v="0"/>
    <n v="0"/>
    <n v="0"/>
    <n v="0"/>
    <n v="0"/>
    <n v="0"/>
    <n v="0"/>
    <n v="0"/>
    <n v="0"/>
    <n v="0"/>
    <n v="0"/>
    <n v="0"/>
  </r>
  <r>
    <x v="71"/>
    <n v="0"/>
    <n v="0"/>
    <n v="0"/>
    <n v="0"/>
    <n v="0"/>
    <n v="0"/>
    <n v="0"/>
    <n v="0"/>
    <n v="0"/>
    <n v="0"/>
    <n v="0"/>
    <n v="0"/>
    <n v="0"/>
    <n v="0"/>
  </r>
  <r>
    <x v="72"/>
    <n v="1"/>
    <n v="0"/>
    <n v="0"/>
    <n v="0"/>
    <n v="0"/>
    <n v="0"/>
    <n v="0"/>
    <n v="0"/>
    <n v="0"/>
    <n v="0"/>
    <n v="0"/>
    <n v="0"/>
    <n v="0"/>
    <n v="0"/>
  </r>
  <r>
    <x v="73"/>
    <n v="0"/>
    <n v="0"/>
    <n v="0"/>
    <n v="0"/>
    <n v="0"/>
    <n v="0"/>
    <n v="0"/>
    <n v="0"/>
    <n v="0"/>
    <n v="0"/>
    <n v="0"/>
    <n v="0"/>
    <n v="0"/>
    <n v="0"/>
  </r>
  <r>
    <x v="74"/>
    <n v="1"/>
    <n v="0"/>
    <n v="0"/>
    <n v="0"/>
    <n v="0"/>
    <n v="0"/>
    <n v="0"/>
    <n v="0"/>
    <n v="0"/>
    <n v="0"/>
    <n v="0"/>
    <n v="0"/>
    <n v="0"/>
    <n v="0"/>
  </r>
  <r>
    <x v="75"/>
    <n v="1"/>
    <n v="0"/>
    <n v="0"/>
    <n v="0"/>
    <n v="0"/>
    <n v="0"/>
    <n v="0"/>
    <n v="0"/>
    <n v="0"/>
    <n v="0"/>
    <n v="0"/>
    <n v="0"/>
    <n v="0"/>
    <n v="0"/>
  </r>
  <r>
    <x v="76"/>
    <n v="0"/>
    <n v="0"/>
    <n v="1"/>
    <n v="0"/>
    <n v="0"/>
    <n v="0"/>
    <n v="0"/>
    <n v="0"/>
    <n v="0"/>
    <n v="0"/>
    <n v="0"/>
    <n v="0"/>
    <n v="0"/>
    <n v="1"/>
  </r>
  <r>
    <x v="77"/>
    <n v="0"/>
    <n v="0"/>
    <n v="0"/>
    <n v="0"/>
    <n v="0"/>
    <n v="0"/>
    <n v="0"/>
    <n v="0"/>
    <n v="0"/>
    <n v="0"/>
    <n v="0"/>
    <n v="0"/>
    <n v="0"/>
    <n v="0"/>
  </r>
  <r>
    <x v="78"/>
    <n v="0"/>
    <n v="0"/>
    <n v="0"/>
    <n v="0"/>
    <n v="0"/>
    <n v="0"/>
    <n v="0"/>
    <n v="0"/>
    <n v="0"/>
    <n v="0"/>
    <n v="0"/>
    <n v="0"/>
    <n v="0"/>
    <n v="0"/>
  </r>
  <r>
    <x v="79"/>
    <n v="0"/>
    <n v="0"/>
    <n v="0"/>
    <n v="0"/>
    <n v="0"/>
    <n v="0"/>
    <n v="0"/>
    <n v="0"/>
    <n v="0"/>
    <n v="0"/>
    <n v="0"/>
    <n v="0"/>
    <n v="0"/>
    <n v="0"/>
  </r>
  <r>
    <x v="80"/>
    <n v="0"/>
    <n v="0"/>
    <n v="0"/>
    <n v="0"/>
    <n v="0"/>
    <n v="0"/>
    <n v="0"/>
    <n v="0"/>
    <n v="0"/>
    <n v="0"/>
    <n v="0"/>
    <n v="0"/>
    <n v="0"/>
    <n v="0"/>
  </r>
  <r>
    <x v="81"/>
    <n v="0"/>
    <n v="0"/>
    <n v="0"/>
    <n v="0"/>
    <n v="0"/>
    <n v="0"/>
    <n v="0"/>
    <n v="0"/>
    <n v="0"/>
    <n v="0"/>
    <n v="0"/>
    <n v="0"/>
    <n v="0"/>
    <n v="0"/>
  </r>
  <r>
    <x v="82"/>
    <n v="0"/>
    <n v="0"/>
    <n v="0"/>
    <n v="0"/>
    <n v="0"/>
    <n v="0"/>
    <n v="0"/>
    <n v="0"/>
    <n v="0"/>
    <n v="0"/>
    <n v="0"/>
    <n v="0"/>
    <n v="0"/>
    <n v="0"/>
  </r>
  <r>
    <x v="83"/>
    <n v="0"/>
    <n v="0"/>
    <n v="0"/>
    <n v="0"/>
    <n v="0"/>
    <n v="0"/>
    <n v="0"/>
    <n v="0"/>
    <n v="0"/>
    <n v="0"/>
    <n v="0"/>
    <n v="0"/>
    <n v="0"/>
    <n v="0"/>
  </r>
  <r>
    <x v="84"/>
    <n v="0"/>
    <n v="0"/>
    <n v="0"/>
    <n v="0"/>
    <n v="0"/>
    <n v="0"/>
    <n v="0"/>
    <n v="0"/>
    <n v="0"/>
    <n v="0"/>
    <n v="0"/>
    <n v="0"/>
    <n v="0"/>
    <n v="0"/>
  </r>
  <r>
    <x v="85"/>
    <n v="0"/>
    <n v="0"/>
    <n v="0"/>
    <n v="0"/>
    <n v="0"/>
    <n v="0"/>
    <n v="0"/>
    <n v="0"/>
    <n v="0"/>
    <n v="0"/>
    <n v="0"/>
    <n v="0"/>
    <n v="0"/>
    <n v="0"/>
  </r>
  <r>
    <x v="86"/>
    <n v="0"/>
    <n v="0"/>
    <n v="0"/>
    <n v="0"/>
    <n v="0"/>
    <n v="0"/>
    <n v="0"/>
    <n v="0"/>
    <n v="0"/>
    <n v="0"/>
    <n v="0"/>
    <n v="0"/>
    <n v="0"/>
    <n v="0"/>
  </r>
  <r>
    <x v="87"/>
    <n v="0"/>
    <n v="0"/>
    <n v="0"/>
    <n v="0"/>
    <n v="0"/>
    <n v="0"/>
    <n v="0"/>
    <n v="0"/>
    <n v="0"/>
    <n v="0"/>
    <n v="0"/>
    <n v="0"/>
    <n v="0"/>
    <n v="0"/>
  </r>
  <r>
    <x v="88"/>
    <n v="0"/>
    <n v="0"/>
    <n v="0"/>
    <n v="0"/>
    <n v="0"/>
    <n v="0"/>
    <n v="0"/>
    <n v="0"/>
    <n v="0"/>
    <n v="0"/>
    <n v="0"/>
    <n v="0"/>
    <n v="0"/>
    <n v="0"/>
  </r>
  <r>
    <x v="89"/>
    <n v="1"/>
    <n v="0"/>
    <n v="0"/>
    <n v="0"/>
    <n v="0"/>
    <n v="0"/>
    <n v="0"/>
    <n v="0"/>
    <n v="0"/>
    <n v="0"/>
    <n v="0"/>
    <n v="0"/>
    <n v="0"/>
    <n v="0"/>
  </r>
  <r>
    <x v="90"/>
    <n v="0"/>
    <n v="0"/>
    <n v="0"/>
    <n v="0"/>
    <n v="0"/>
    <n v="0"/>
    <n v="0"/>
    <n v="0"/>
    <n v="0"/>
    <n v="0"/>
    <n v="0"/>
    <n v="0"/>
    <n v="0"/>
    <n v="0"/>
  </r>
  <r>
    <x v="91"/>
    <n v="1"/>
    <n v="0"/>
    <n v="0"/>
    <n v="0"/>
    <n v="0"/>
    <n v="0"/>
    <n v="0"/>
    <n v="0"/>
    <n v="0"/>
    <n v="0"/>
    <n v="0"/>
    <n v="0"/>
    <n v="0"/>
    <n v="0"/>
  </r>
  <r>
    <x v="92"/>
    <n v="0"/>
    <n v="0"/>
    <n v="0"/>
    <n v="0"/>
    <n v="0"/>
    <n v="0"/>
    <n v="0"/>
    <n v="0"/>
    <n v="0"/>
    <n v="0"/>
    <n v="0"/>
    <n v="0"/>
    <n v="0"/>
    <n v="0"/>
  </r>
  <r>
    <x v="93"/>
    <n v="0"/>
    <n v="0"/>
    <n v="0"/>
    <n v="0"/>
    <n v="0"/>
    <n v="0"/>
    <n v="0"/>
    <n v="0"/>
    <n v="0"/>
    <n v="0"/>
    <n v="0"/>
    <n v="0"/>
    <n v="0"/>
    <n v="0"/>
  </r>
  <r>
    <x v="94"/>
    <n v="0"/>
    <n v="0"/>
    <n v="0"/>
    <n v="0"/>
    <n v="0"/>
    <n v="0"/>
    <n v="0"/>
    <n v="0"/>
    <n v="0"/>
    <n v="0"/>
    <n v="0"/>
    <n v="0"/>
    <n v="0"/>
    <n v="0"/>
  </r>
  <r>
    <x v="95"/>
    <n v="0"/>
    <n v="0"/>
    <n v="0"/>
    <n v="0"/>
    <n v="0"/>
    <n v="0"/>
    <n v="0"/>
    <n v="0"/>
    <n v="0"/>
    <n v="0"/>
    <n v="0"/>
    <n v="0"/>
    <n v="0"/>
    <n v="0"/>
  </r>
  <r>
    <x v="96"/>
    <n v="1"/>
    <n v="0"/>
    <n v="0"/>
    <n v="0"/>
    <n v="0"/>
    <n v="0"/>
    <n v="0"/>
    <n v="0"/>
    <n v="0"/>
    <n v="0"/>
    <n v="0"/>
    <n v="0"/>
    <n v="0"/>
    <n v="0"/>
  </r>
  <r>
    <x v="97"/>
    <n v="1"/>
    <n v="0"/>
    <n v="0"/>
    <n v="0"/>
    <n v="0"/>
    <n v="0"/>
    <n v="0"/>
    <n v="0"/>
    <n v="0"/>
    <n v="0"/>
    <n v="0"/>
    <n v="0"/>
    <n v="0"/>
    <n v="0"/>
  </r>
  <r>
    <x v="98"/>
    <n v="2"/>
    <n v="0"/>
    <n v="0"/>
    <n v="0"/>
    <n v="0"/>
    <n v="0"/>
    <n v="0"/>
    <n v="0"/>
    <n v="0"/>
    <n v="0"/>
    <n v="0"/>
    <n v="0"/>
    <n v="0"/>
    <n v="0"/>
  </r>
  <r>
    <x v="99"/>
    <n v="0"/>
    <n v="0"/>
    <n v="0"/>
    <n v="0"/>
    <n v="0"/>
    <n v="0"/>
    <n v="0"/>
    <n v="0"/>
    <n v="0"/>
    <n v="0"/>
    <n v="0"/>
    <n v="0"/>
    <n v="0"/>
    <n v="0"/>
  </r>
  <r>
    <x v="100"/>
    <n v="0"/>
    <n v="0"/>
    <n v="0"/>
    <n v="0"/>
    <n v="0"/>
    <n v="0"/>
    <n v="0"/>
    <n v="0"/>
    <n v="0"/>
    <n v="0"/>
    <n v="0"/>
    <n v="0"/>
    <n v="0"/>
    <n v="0"/>
  </r>
  <r>
    <x v="101"/>
    <n v="0"/>
    <n v="0"/>
    <n v="0"/>
    <n v="0"/>
    <n v="0"/>
    <n v="0"/>
    <n v="0"/>
    <n v="0"/>
    <n v="0"/>
    <n v="0"/>
    <n v="0"/>
    <n v="0"/>
    <n v="0"/>
    <n v="0"/>
  </r>
  <r>
    <x v="102"/>
    <n v="0"/>
    <n v="0"/>
    <n v="0"/>
    <n v="0"/>
    <n v="0"/>
    <n v="0"/>
    <n v="0"/>
    <n v="0"/>
    <n v="0"/>
    <n v="0"/>
    <n v="0"/>
    <n v="0"/>
    <n v="0"/>
    <n v="0"/>
  </r>
  <r>
    <x v="103"/>
    <n v="0"/>
    <n v="0"/>
    <n v="0"/>
    <n v="0"/>
    <n v="0"/>
    <n v="0"/>
    <n v="0"/>
    <n v="0"/>
    <n v="0"/>
    <n v="0"/>
    <n v="0"/>
    <n v="0"/>
    <n v="0"/>
    <n v="0"/>
  </r>
  <r>
    <x v="104"/>
    <n v="0"/>
    <n v="0"/>
    <n v="0"/>
    <n v="0"/>
    <n v="0"/>
    <n v="0"/>
    <n v="0"/>
    <n v="0"/>
    <n v="0"/>
    <n v="0"/>
    <n v="0"/>
    <n v="0"/>
    <n v="0"/>
    <n v="0"/>
  </r>
  <r>
    <x v="105"/>
    <n v="1"/>
    <n v="0"/>
    <n v="0"/>
    <n v="0"/>
    <n v="0"/>
    <n v="0"/>
    <n v="0"/>
    <n v="0"/>
    <n v="0"/>
    <n v="0"/>
    <n v="0"/>
    <n v="0"/>
    <n v="0"/>
    <n v="0"/>
  </r>
  <r>
    <x v="106"/>
    <n v="0"/>
    <n v="0"/>
    <n v="0"/>
    <n v="0"/>
    <n v="0"/>
    <n v="0"/>
    <n v="0"/>
    <n v="0"/>
    <n v="0"/>
    <n v="0"/>
    <n v="0"/>
    <n v="0"/>
    <n v="0"/>
    <n v="0"/>
  </r>
  <r>
    <x v="107"/>
    <n v="2"/>
    <n v="0"/>
    <n v="0"/>
    <n v="0"/>
    <n v="0"/>
    <n v="0"/>
    <n v="0"/>
    <n v="0"/>
    <n v="0"/>
    <n v="0"/>
    <n v="0"/>
    <n v="0"/>
    <n v="0"/>
    <n v="0"/>
  </r>
  <r>
    <x v="108"/>
    <n v="1"/>
    <n v="0"/>
    <n v="0"/>
    <n v="0"/>
    <n v="0"/>
    <n v="0"/>
    <n v="0"/>
    <n v="0"/>
    <n v="0"/>
    <n v="0"/>
    <n v="0"/>
    <n v="0"/>
    <n v="0"/>
    <n v="0"/>
  </r>
  <r>
    <x v="109"/>
    <n v="2"/>
    <n v="0"/>
    <n v="0"/>
    <n v="0"/>
    <n v="0"/>
    <n v="0"/>
    <n v="0"/>
    <n v="0"/>
    <n v="0"/>
    <n v="0"/>
    <n v="0"/>
    <n v="0"/>
    <n v="0"/>
    <n v="0"/>
  </r>
  <r>
    <x v="110"/>
    <n v="1"/>
    <n v="0"/>
    <n v="0"/>
    <n v="0"/>
    <n v="0"/>
    <n v="0"/>
    <n v="0"/>
    <n v="0"/>
    <n v="0"/>
    <n v="0"/>
    <n v="0"/>
    <n v="0"/>
    <n v="0"/>
    <n v="0"/>
  </r>
  <r>
    <x v="111"/>
    <n v="0"/>
    <n v="0"/>
    <n v="0"/>
    <n v="0"/>
    <n v="0"/>
    <n v="0"/>
    <n v="0"/>
    <n v="0"/>
    <n v="0"/>
    <n v="0"/>
    <n v="0"/>
    <n v="0"/>
    <n v="0"/>
    <n v="0"/>
  </r>
  <r>
    <x v="112"/>
    <n v="2"/>
    <n v="0"/>
    <n v="0"/>
    <n v="0"/>
    <n v="0"/>
    <n v="0"/>
    <n v="0"/>
    <n v="0"/>
    <n v="0"/>
    <n v="0"/>
    <n v="0"/>
    <n v="0"/>
    <n v="0"/>
    <n v="0"/>
  </r>
  <r>
    <x v="113"/>
    <n v="2"/>
    <n v="0"/>
    <n v="0"/>
    <n v="0"/>
    <n v="0"/>
    <n v="0"/>
    <n v="0"/>
    <n v="0"/>
    <n v="0"/>
    <n v="0"/>
    <n v="0"/>
    <n v="0"/>
    <n v="0"/>
    <n v="0"/>
  </r>
  <r>
    <x v="114"/>
    <n v="1"/>
    <n v="0"/>
    <n v="0"/>
    <n v="0"/>
    <n v="0"/>
    <n v="0"/>
    <n v="0"/>
    <n v="0"/>
    <n v="0"/>
    <n v="0"/>
    <n v="0"/>
    <n v="0"/>
    <n v="0"/>
    <n v="0"/>
  </r>
  <r>
    <x v="115"/>
    <n v="1"/>
    <n v="0"/>
    <n v="0"/>
    <n v="0"/>
    <n v="0"/>
    <n v="0"/>
    <n v="0"/>
    <n v="0"/>
    <n v="0"/>
    <n v="0"/>
    <n v="0"/>
    <n v="0"/>
    <n v="0"/>
    <n v="0"/>
  </r>
  <r>
    <x v="116"/>
    <n v="1"/>
    <n v="0"/>
    <n v="0"/>
    <n v="0"/>
    <n v="0"/>
    <n v="0"/>
    <n v="0"/>
    <n v="0"/>
    <n v="0"/>
    <n v="0"/>
    <n v="0"/>
    <n v="0"/>
    <n v="0"/>
    <n v="0"/>
  </r>
  <r>
    <x v="117"/>
    <n v="0"/>
    <n v="0"/>
    <n v="0"/>
    <n v="0"/>
    <n v="0"/>
    <n v="0"/>
    <n v="0"/>
    <n v="0"/>
    <n v="0"/>
    <n v="0"/>
    <n v="0"/>
    <n v="0"/>
    <n v="0"/>
    <n v="0"/>
  </r>
  <r>
    <x v="118"/>
    <n v="0"/>
    <n v="0"/>
    <n v="0"/>
    <n v="0"/>
    <n v="0"/>
    <n v="0"/>
    <n v="0"/>
    <n v="0"/>
    <n v="0"/>
    <n v="0"/>
    <n v="0"/>
    <n v="0"/>
    <n v="0"/>
    <n v="0"/>
  </r>
  <r>
    <x v="119"/>
    <n v="2"/>
    <n v="0"/>
    <n v="0"/>
    <n v="0"/>
    <n v="0"/>
    <n v="0"/>
    <n v="0"/>
    <n v="0"/>
    <n v="0"/>
    <n v="0"/>
    <n v="0"/>
    <n v="0"/>
    <n v="0"/>
    <n v="0"/>
  </r>
  <r>
    <x v="120"/>
    <n v="0"/>
    <n v="0"/>
    <n v="0"/>
    <n v="0"/>
    <n v="0"/>
    <n v="0"/>
    <n v="0"/>
    <n v="0"/>
    <n v="0"/>
    <n v="0"/>
    <n v="0"/>
    <n v="0"/>
    <n v="0"/>
    <n v="0"/>
  </r>
  <r>
    <x v="121"/>
    <n v="0"/>
    <n v="0"/>
    <n v="0"/>
    <n v="0"/>
    <n v="0"/>
    <n v="0"/>
    <n v="0"/>
    <n v="0"/>
    <n v="0"/>
    <n v="0"/>
    <n v="0"/>
    <n v="0"/>
    <n v="0"/>
    <n v="0"/>
  </r>
  <r>
    <x v="122"/>
    <n v="0"/>
    <n v="0"/>
    <n v="0"/>
    <n v="0"/>
    <n v="0"/>
    <n v="0"/>
    <n v="0"/>
    <n v="0"/>
    <n v="0"/>
    <n v="0"/>
    <n v="0"/>
    <n v="0"/>
    <n v="0"/>
    <n v="0"/>
  </r>
  <r>
    <x v="123"/>
    <n v="0"/>
    <n v="0"/>
    <n v="0"/>
    <n v="0"/>
    <n v="0"/>
    <n v="0"/>
    <n v="0"/>
    <n v="0"/>
    <n v="0"/>
    <n v="0"/>
    <n v="0"/>
    <n v="0"/>
    <n v="0"/>
    <n v="0"/>
  </r>
  <r>
    <x v="124"/>
    <n v="3"/>
    <n v="0"/>
    <n v="0"/>
    <n v="0"/>
    <n v="0"/>
    <n v="0"/>
    <n v="0"/>
    <n v="0"/>
    <n v="0"/>
    <n v="0"/>
    <n v="0"/>
    <n v="0"/>
    <n v="0"/>
    <n v="0"/>
  </r>
  <r>
    <x v="125"/>
    <n v="1"/>
    <n v="0"/>
    <n v="0"/>
    <n v="0"/>
    <n v="0"/>
    <n v="0"/>
    <n v="0"/>
    <n v="0"/>
    <n v="0"/>
    <n v="0"/>
    <n v="0"/>
    <n v="0"/>
    <n v="0"/>
    <n v="0"/>
  </r>
  <r>
    <x v="126"/>
    <n v="2"/>
    <n v="0"/>
    <n v="0"/>
    <n v="0"/>
    <n v="0"/>
    <n v="0"/>
    <n v="0"/>
    <n v="0"/>
    <n v="0"/>
    <n v="0"/>
    <n v="0"/>
    <n v="0"/>
    <n v="0"/>
    <n v="0"/>
  </r>
  <r>
    <x v="127"/>
    <n v="6"/>
    <n v="2"/>
    <n v="1"/>
    <n v="0"/>
    <n v="0"/>
    <n v="0"/>
    <n v="0"/>
    <n v="0"/>
    <n v="0"/>
    <n v="0"/>
    <n v="0"/>
    <n v="0"/>
    <n v="0"/>
    <n v="3"/>
  </r>
  <r>
    <x v="128"/>
    <n v="1"/>
    <n v="0"/>
    <n v="0"/>
    <n v="0"/>
    <n v="0"/>
    <n v="0"/>
    <n v="0"/>
    <n v="0"/>
    <n v="0"/>
    <n v="0"/>
    <n v="0"/>
    <n v="0"/>
    <n v="0"/>
    <n v="0"/>
  </r>
  <r>
    <x v="129"/>
    <n v="0"/>
    <n v="0"/>
    <n v="0"/>
    <n v="0"/>
    <n v="0"/>
    <n v="0"/>
    <n v="0"/>
    <n v="0"/>
    <n v="0"/>
    <n v="0"/>
    <n v="0"/>
    <n v="0"/>
    <n v="0"/>
    <n v="0"/>
  </r>
  <r>
    <x v="130"/>
    <n v="2"/>
    <n v="0"/>
    <n v="0"/>
    <n v="0"/>
    <n v="0"/>
    <n v="0"/>
    <n v="0"/>
    <n v="0"/>
    <n v="0"/>
    <n v="0"/>
    <n v="0"/>
    <n v="0"/>
    <n v="0"/>
    <n v="0"/>
  </r>
  <r>
    <x v="131"/>
    <n v="0"/>
    <n v="0"/>
    <n v="0"/>
    <n v="0"/>
    <n v="0"/>
    <n v="0"/>
    <n v="0"/>
    <n v="0"/>
    <n v="0"/>
    <n v="0"/>
    <n v="0"/>
    <n v="0"/>
    <n v="0"/>
    <n v="0"/>
  </r>
  <r>
    <x v="132"/>
    <n v="4"/>
    <n v="0"/>
    <n v="0"/>
    <n v="0"/>
    <n v="0"/>
    <n v="0"/>
    <n v="0"/>
    <n v="0"/>
    <n v="0"/>
    <n v="0"/>
    <n v="0"/>
    <n v="0"/>
    <n v="0"/>
    <n v="0"/>
  </r>
  <r>
    <x v="133"/>
    <n v="0"/>
    <n v="0"/>
    <n v="0"/>
    <n v="0"/>
    <n v="0"/>
    <n v="0"/>
    <n v="0"/>
    <n v="0"/>
    <n v="0"/>
    <n v="0"/>
    <n v="0"/>
    <n v="0"/>
    <n v="0"/>
    <n v="0"/>
  </r>
  <r>
    <x v="134"/>
    <n v="0"/>
    <n v="0"/>
    <n v="0"/>
    <n v="0"/>
    <n v="0"/>
    <n v="0"/>
    <n v="0"/>
    <n v="0"/>
    <n v="0"/>
    <n v="0"/>
    <n v="0"/>
    <n v="0"/>
    <n v="0"/>
    <n v="0"/>
  </r>
  <r>
    <x v="135"/>
    <n v="1"/>
    <n v="0"/>
    <n v="0"/>
    <n v="0"/>
    <n v="0"/>
    <n v="0"/>
    <n v="0"/>
    <n v="0"/>
    <n v="0"/>
    <n v="0"/>
    <n v="0"/>
    <n v="0"/>
    <n v="0"/>
    <n v="0"/>
  </r>
  <r>
    <x v="136"/>
    <n v="0"/>
    <n v="0"/>
    <n v="0"/>
    <n v="0"/>
    <n v="0"/>
    <n v="0"/>
    <n v="0"/>
    <n v="0"/>
    <n v="0"/>
    <n v="0"/>
    <n v="0"/>
    <n v="0"/>
    <n v="0"/>
    <n v="0"/>
  </r>
  <r>
    <x v="137"/>
    <n v="1"/>
    <n v="0"/>
    <n v="0"/>
    <n v="0"/>
    <n v="0"/>
    <n v="0"/>
    <n v="0"/>
    <n v="0"/>
    <n v="0"/>
    <n v="0"/>
    <n v="0"/>
    <n v="0"/>
    <n v="0"/>
    <n v="0"/>
  </r>
  <r>
    <x v="138"/>
    <n v="0"/>
    <n v="0"/>
    <n v="0"/>
    <n v="0"/>
    <n v="0"/>
    <n v="0"/>
    <n v="0"/>
    <n v="0"/>
    <n v="0"/>
    <n v="0"/>
    <n v="0"/>
    <n v="0"/>
    <n v="0"/>
    <n v="0"/>
  </r>
  <r>
    <x v="139"/>
    <n v="0"/>
    <n v="0"/>
    <n v="0"/>
    <n v="0"/>
    <n v="0"/>
    <n v="0"/>
    <n v="0"/>
    <n v="0"/>
    <n v="0"/>
    <n v="0"/>
    <n v="0"/>
    <n v="0"/>
    <n v="0"/>
    <n v="0"/>
  </r>
  <r>
    <x v="140"/>
    <n v="2"/>
    <n v="0"/>
    <n v="0"/>
    <n v="0"/>
    <n v="0"/>
    <n v="0"/>
    <n v="0"/>
    <n v="0"/>
    <n v="0"/>
    <n v="0"/>
    <n v="0"/>
    <n v="0"/>
    <n v="0"/>
    <n v="0"/>
  </r>
  <r>
    <x v="141"/>
    <n v="1"/>
    <n v="0"/>
    <n v="0"/>
    <n v="0"/>
    <n v="0"/>
    <n v="0"/>
    <n v="0"/>
    <n v="0"/>
    <n v="0"/>
    <n v="0"/>
    <n v="0"/>
    <n v="0"/>
    <n v="0"/>
    <n v="0"/>
  </r>
  <r>
    <x v="142"/>
    <n v="0"/>
    <n v="0"/>
    <n v="0"/>
    <n v="0"/>
    <n v="0"/>
    <n v="0"/>
    <n v="0"/>
    <n v="0"/>
    <n v="0"/>
    <n v="0"/>
    <n v="0"/>
    <n v="0"/>
    <n v="0"/>
    <n v="0"/>
  </r>
  <r>
    <x v="143"/>
    <n v="0"/>
    <n v="0"/>
    <n v="0"/>
    <n v="0"/>
    <n v="0"/>
    <n v="0"/>
    <n v="0"/>
    <n v="0"/>
    <n v="0"/>
    <n v="0"/>
    <n v="0"/>
    <n v="0"/>
    <n v="0"/>
    <n v="0"/>
  </r>
  <r>
    <x v="144"/>
    <n v="1"/>
    <n v="0"/>
    <n v="0"/>
    <n v="0"/>
    <n v="0"/>
    <n v="0"/>
    <n v="0"/>
    <n v="0"/>
    <n v="0"/>
    <n v="0"/>
    <n v="0"/>
    <n v="0"/>
    <n v="0"/>
    <n v="0"/>
  </r>
  <r>
    <x v="145"/>
    <n v="1"/>
    <n v="0"/>
    <n v="0"/>
    <n v="0"/>
    <n v="0"/>
    <n v="0"/>
    <n v="0"/>
    <n v="0"/>
    <n v="0"/>
    <n v="0"/>
    <n v="0"/>
    <n v="0"/>
    <n v="0"/>
    <n v="0"/>
  </r>
  <r>
    <x v="146"/>
    <n v="2"/>
    <n v="0"/>
    <n v="0"/>
    <n v="0"/>
    <n v="0"/>
    <n v="0"/>
    <n v="0"/>
    <n v="0"/>
    <n v="0"/>
    <n v="0"/>
    <n v="0"/>
    <n v="0"/>
    <n v="0"/>
    <n v="0"/>
  </r>
  <r>
    <x v="147"/>
    <n v="1"/>
    <n v="0"/>
    <n v="0"/>
    <n v="0"/>
    <n v="0"/>
    <n v="0"/>
    <n v="0"/>
    <n v="0"/>
    <n v="0"/>
    <n v="0"/>
    <n v="0"/>
    <n v="0"/>
    <n v="0"/>
    <n v="0"/>
  </r>
  <r>
    <x v="148"/>
    <n v="0"/>
    <n v="0"/>
    <n v="0"/>
    <n v="0"/>
    <n v="0"/>
    <n v="0"/>
    <n v="0"/>
    <n v="0"/>
    <n v="0"/>
    <n v="0"/>
    <n v="0"/>
    <n v="0"/>
    <n v="0"/>
    <n v="0"/>
  </r>
  <r>
    <x v="149"/>
    <n v="1"/>
    <n v="0"/>
    <n v="0"/>
    <n v="0"/>
    <n v="0"/>
    <n v="0"/>
    <n v="0"/>
    <n v="0"/>
    <n v="0"/>
    <n v="0"/>
    <n v="0"/>
    <n v="0"/>
    <n v="0"/>
    <n v="0"/>
  </r>
  <r>
    <x v="150"/>
    <n v="1"/>
    <n v="0"/>
    <n v="0"/>
    <n v="0"/>
    <n v="0"/>
    <n v="0"/>
    <n v="0"/>
    <n v="0"/>
    <n v="0"/>
    <n v="0"/>
    <n v="0"/>
    <n v="0"/>
    <n v="0"/>
    <n v="0"/>
  </r>
  <r>
    <x v="151"/>
    <n v="0"/>
    <n v="0"/>
    <n v="0"/>
    <n v="0"/>
    <n v="0"/>
    <n v="0"/>
    <n v="0"/>
    <n v="0"/>
    <n v="0"/>
    <n v="0"/>
    <n v="0"/>
    <n v="0"/>
    <n v="0"/>
    <n v="0"/>
  </r>
  <r>
    <x v="152"/>
    <n v="0"/>
    <n v="0"/>
    <n v="0"/>
    <n v="0"/>
    <n v="0"/>
    <n v="0"/>
    <n v="0"/>
    <n v="0"/>
    <n v="0"/>
    <n v="0"/>
    <n v="0"/>
    <n v="0"/>
    <n v="0"/>
    <n v="0"/>
  </r>
  <r>
    <x v="153"/>
    <n v="0"/>
    <n v="0"/>
    <n v="0"/>
    <n v="0"/>
    <n v="0"/>
    <n v="0"/>
    <n v="0"/>
    <n v="0"/>
    <n v="0"/>
    <n v="0"/>
    <n v="0"/>
    <n v="0"/>
    <n v="0"/>
    <n v="0"/>
  </r>
  <r>
    <x v="154"/>
    <n v="1"/>
    <n v="0"/>
    <n v="0"/>
    <n v="0"/>
    <n v="0"/>
    <n v="0"/>
    <n v="0"/>
    <n v="0"/>
    <n v="0"/>
    <n v="0"/>
    <n v="0"/>
    <n v="0"/>
    <n v="0"/>
    <n v="0"/>
  </r>
  <r>
    <x v="155"/>
    <n v="0"/>
    <n v="0"/>
    <n v="0"/>
    <n v="0"/>
    <n v="0"/>
    <n v="0"/>
    <n v="0"/>
    <n v="0"/>
    <n v="0"/>
    <n v="0"/>
    <n v="0"/>
    <n v="0"/>
    <n v="0"/>
    <n v="0"/>
  </r>
  <r>
    <x v="156"/>
    <n v="0"/>
    <n v="0"/>
    <n v="0"/>
    <n v="0"/>
    <n v="0"/>
    <n v="0"/>
    <n v="0"/>
    <n v="0"/>
    <n v="0"/>
    <n v="0"/>
    <n v="0"/>
    <n v="0"/>
    <n v="0"/>
    <n v="0"/>
  </r>
  <r>
    <x v="157"/>
    <n v="0"/>
    <n v="0"/>
    <n v="0"/>
    <n v="0"/>
    <n v="0"/>
    <n v="0"/>
    <n v="0"/>
    <n v="0"/>
    <n v="0"/>
    <n v="0"/>
    <n v="0"/>
    <n v="0"/>
    <n v="0"/>
    <n v="0"/>
  </r>
  <r>
    <x v="158"/>
    <n v="0"/>
    <n v="0"/>
    <n v="0"/>
    <n v="0"/>
    <n v="0"/>
    <n v="0"/>
    <n v="0"/>
    <n v="0"/>
    <n v="0"/>
    <n v="0"/>
    <n v="0"/>
    <n v="0"/>
    <n v="0"/>
    <n v="0"/>
  </r>
  <r>
    <x v="159"/>
    <n v="1"/>
    <n v="0"/>
    <n v="0"/>
    <n v="0"/>
    <n v="0"/>
    <n v="0"/>
    <n v="0"/>
    <n v="0"/>
    <n v="0"/>
    <n v="0"/>
    <n v="0"/>
    <n v="0"/>
    <n v="0"/>
    <n v="0"/>
  </r>
  <r>
    <x v="160"/>
    <n v="1"/>
    <n v="0"/>
    <n v="0"/>
    <n v="0"/>
    <n v="0"/>
    <n v="0"/>
    <n v="0"/>
    <n v="0"/>
    <n v="0"/>
    <n v="0"/>
    <n v="0"/>
    <n v="0"/>
    <n v="0"/>
    <n v="0"/>
  </r>
  <r>
    <x v="161"/>
    <n v="1"/>
    <n v="0"/>
    <n v="0"/>
    <n v="0"/>
    <n v="0"/>
    <n v="0"/>
    <n v="0"/>
    <n v="0"/>
    <n v="0"/>
    <n v="0"/>
    <n v="0"/>
    <n v="0"/>
    <n v="0"/>
    <n v="0"/>
  </r>
  <r>
    <x v="162"/>
    <n v="0"/>
    <n v="0"/>
    <n v="0"/>
    <n v="0"/>
    <n v="0"/>
    <n v="0"/>
    <n v="0"/>
    <n v="0"/>
    <n v="0"/>
    <n v="0"/>
    <n v="0"/>
    <n v="0"/>
    <n v="0"/>
    <n v="0"/>
  </r>
  <r>
    <x v="163"/>
    <n v="0"/>
    <n v="0"/>
    <n v="0"/>
    <n v="0"/>
    <n v="0"/>
    <n v="0"/>
    <n v="0"/>
    <n v="0"/>
    <n v="0"/>
    <n v="0"/>
    <n v="0"/>
    <n v="0"/>
    <n v="0"/>
    <n v="0"/>
  </r>
  <r>
    <x v="164"/>
    <n v="0"/>
    <n v="0"/>
    <n v="0"/>
    <n v="0"/>
    <n v="0"/>
    <n v="0"/>
    <n v="0"/>
    <n v="0"/>
    <n v="0"/>
    <n v="0"/>
    <n v="0"/>
    <n v="0"/>
    <n v="0"/>
    <n v="0"/>
  </r>
  <r>
    <x v="165"/>
    <n v="2"/>
    <n v="0"/>
    <n v="0"/>
    <n v="0"/>
    <n v="0"/>
    <n v="0"/>
    <n v="0"/>
    <n v="0"/>
    <n v="0"/>
    <n v="0"/>
    <n v="0"/>
    <n v="0"/>
    <n v="0"/>
    <n v="0"/>
  </r>
  <r>
    <x v="166"/>
    <n v="3"/>
    <n v="0"/>
    <n v="0"/>
    <n v="0"/>
    <n v="0"/>
    <n v="0"/>
    <n v="0"/>
    <n v="0"/>
    <n v="0"/>
    <n v="0"/>
    <n v="0"/>
    <n v="0"/>
    <n v="0"/>
    <n v="0"/>
  </r>
  <r>
    <x v="167"/>
    <n v="0"/>
    <n v="0"/>
    <n v="0"/>
    <n v="0"/>
    <n v="0"/>
    <n v="0"/>
    <n v="0"/>
    <n v="0"/>
    <n v="0"/>
    <n v="0"/>
    <n v="0"/>
    <n v="0"/>
    <n v="0"/>
    <n v="0"/>
  </r>
  <r>
    <x v="168"/>
    <n v="0"/>
    <n v="0"/>
    <n v="0"/>
    <n v="0"/>
    <n v="0"/>
    <n v="0"/>
    <n v="0"/>
    <n v="0"/>
    <n v="0"/>
    <n v="0"/>
    <n v="0"/>
    <n v="0"/>
    <n v="0"/>
    <n v="0"/>
  </r>
  <r>
    <x v="169"/>
    <n v="0"/>
    <n v="0"/>
    <n v="0"/>
    <n v="0"/>
    <n v="0"/>
    <n v="0"/>
    <n v="0"/>
    <n v="0"/>
    <n v="0"/>
    <n v="0"/>
    <n v="0"/>
    <n v="0"/>
    <n v="0"/>
    <n v="0"/>
  </r>
  <r>
    <x v="170"/>
    <n v="0"/>
    <n v="0"/>
    <n v="0"/>
    <n v="0"/>
    <n v="0"/>
    <n v="0"/>
    <n v="0"/>
    <n v="0"/>
    <n v="0"/>
    <n v="0"/>
    <n v="0"/>
    <n v="0"/>
    <n v="0"/>
    <n v="0"/>
  </r>
  <r>
    <x v="171"/>
    <n v="1"/>
    <n v="0"/>
    <n v="0"/>
    <n v="0"/>
    <n v="0"/>
    <n v="0"/>
    <n v="0"/>
    <n v="0"/>
    <n v="0"/>
    <n v="0"/>
    <n v="0"/>
    <n v="0"/>
    <n v="0"/>
    <n v="0"/>
  </r>
  <r>
    <x v="172"/>
    <n v="1"/>
    <n v="0"/>
    <n v="0"/>
    <n v="0"/>
    <n v="0"/>
    <n v="0"/>
    <n v="0"/>
    <n v="0"/>
    <n v="0"/>
    <n v="0"/>
    <n v="0"/>
    <n v="0"/>
    <n v="0"/>
    <n v="0"/>
  </r>
  <r>
    <x v="173"/>
    <n v="0"/>
    <n v="0"/>
    <n v="0"/>
    <n v="0"/>
    <n v="0"/>
    <n v="0"/>
    <n v="0"/>
    <n v="0"/>
    <n v="0"/>
    <n v="0"/>
    <n v="0"/>
    <n v="0"/>
    <n v="0"/>
    <n v="0"/>
  </r>
  <r>
    <x v="174"/>
    <n v="0"/>
    <n v="0"/>
    <n v="0"/>
    <n v="0"/>
    <n v="0"/>
    <n v="0"/>
    <n v="0"/>
    <n v="0"/>
    <n v="0"/>
    <n v="0"/>
    <n v="0"/>
    <n v="0"/>
    <n v="0"/>
    <n v="0"/>
  </r>
  <r>
    <x v="175"/>
    <n v="0"/>
    <n v="0"/>
    <n v="0"/>
    <n v="0"/>
    <n v="0"/>
    <n v="0"/>
    <n v="0"/>
    <n v="0"/>
    <n v="0"/>
    <n v="0"/>
    <n v="0"/>
    <n v="0"/>
    <n v="0"/>
    <n v="0"/>
  </r>
  <r>
    <x v="176"/>
    <n v="2"/>
    <n v="0"/>
    <n v="0"/>
    <n v="0"/>
    <n v="0"/>
    <n v="0"/>
    <n v="0"/>
    <n v="0"/>
    <n v="0"/>
    <n v="0"/>
    <n v="0"/>
    <n v="0"/>
    <n v="0"/>
    <n v="0"/>
  </r>
  <r>
    <x v="177"/>
    <n v="1"/>
    <n v="0"/>
    <n v="0"/>
    <n v="0"/>
    <n v="0"/>
    <n v="0"/>
    <n v="0"/>
    <n v="0"/>
    <n v="0"/>
    <n v="0"/>
    <n v="0"/>
    <n v="0"/>
    <n v="0"/>
    <n v="0"/>
  </r>
  <r>
    <x v="178"/>
    <n v="0"/>
    <n v="0"/>
    <n v="0"/>
    <n v="0"/>
    <n v="0"/>
    <n v="0"/>
    <n v="0"/>
    <n v="0"/>
    <n v="0"/>
    <n v="0"/>
    <n v="0"/>
    <n v="0"/>
    <n v="0"/>
    <n v="0"/>
  </r>
  <r>
    <x v="179"/>
    <n v="1"/>
    <n v="4"/>
    <n v="2"/>
    <n v="0"/>
    <n v="0"/>
    <n v="0"/>
    <n v="0"/>
    <n v="0"/>
    <n v="0"/>
    <n v="0"/>
    <n v="0"/>
    <n v="0"/>
    <n v="0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A2ED7-82D5-4871-AF20-A9AA7218DC9F}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Q3:S10" firstHeaderRow="0" firstDataRow="1" firstDataCol="1"/>
  <pivotFields count="16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5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클릭수" fld="1" baseField="0" baseItem="0"/>
    <dataField name="합계 : 합계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CAE6-83FC-488C-876A-9C48E0D8B42B}">
  <dimension ref="A1:S181"/>
  <sheetViews>
    <sheetView topLeftCell="A151" workbookViewId="0">
      <selection activeCell="C108" sqref="C108"/>
    </sheetView>
  </sheetViews>
  <sheetFormatPr defaultRowHeight="16.5" x14ac:dyDescent="0.3"/>
  <cols>
    <col min="1" max="1" width="11.125" style="4" bestFit="1" customWidth="1"/>
    <col min="3" max="3" width="13.125" customWidth="1"/>
    <col min="4" max="4" width="11.875" bestFit="1" customWidth="1"/>
    <col min="5" max="5" width="13.125" bestFit="1" customWidth="1"/>
    <col min="13" max="13" width="11.75" customWidth="1"/>
    <col min="14" max="14" width="11.5" customWidth="1"/>
    <col min="17" max="17" width="11.875" bestFit="1" customWidth="1"/>
    <col min="18" max="18" width="13.125" bestFit="1" customWidth="1"/>
    <col min="19" max="19" width="11.125" bestFit="1" customWidth="1"/>
  </cols>
  <sheetData>
    <row r="1" spans="1:19" x14ac:dyDescent="0.3">
      <c r="A1" s="4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0</v>
      </c>
    </row>
    <row r="2" spans="1:19" x14ac:dyDescent="0.3">
      <c r="A2" s="4">
        <v>46023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9" x14ac:dyDescent="0.3">
      <c r="A3" s="4">
        <v>46024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 s="2" t="s">
        <v>46</v>
      </c>
      <c r="R3" t="s">
        <v>54</v>
      </c>
      <c r="S3" t="s">
        <v>56</v>
      </c>
    </row>
    <row r="4" spans="1:19" x14ac:dyDescent="0.3">
      <c r="A4" s="4">
        <v>46025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 s="3" t="s">
        <v>48</v>
      </c>
      <c r="R4" s="5">
        <v>8</v>
      </c>
      <c r="S4" s="5">
        <v>1</v>
      </c>
    </row>
    <row r="5" spans="1:19" x14ac:dyDescent="0.3">
      <c r="A5" s="4">
        <v>46026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3" t="s">
        <v>49</v>
      </c>
      <c r="R5" s="5">
        <v>7</v>
      </c>
      <c r="S5" s="5">
        <v>1</v>
      </c>
    </row>
    <row r="6" spans="1:19" x14ac:dyDescent="0.3">
      <c r="A6" s="4">
        <v>46027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 s="3" t="s">
        <v>50</v>
      </c>
      <c r="R6" s="5">
        <v>8</v>
      </c>
      <c r="S6" s="5">
        <v>1</v>
      </c>
    </row>
    <row r="7" spans="1:19" x14ac:dyDescent="0.3">
      <c r="A7" s="4">
        <v>46028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3" t="s">
        <v>51</v>
      </c>
      <c r="R7" s="5">
        <v>21</v>
      </c>
      <c r="S7" s="5">
        <v>0</v>
      </c>
    </row>
    <row r="8" spans="1:19" x14ac:dyDescent="0.3">
      <c r="A8" s="4">
        <v>46029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 s="3" t="s">
        <v>52</v>
      </c>
      <c r="R8" s="5">
        <v>31</v>
      </c>
      <c r="S8" s="5">
        <v>3</v>
      </c>
    </row>
    <row r="9" spans="1:19" x14ac:dyDescent="0.3">
      <c r="A9" s="4">
        <v>46030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 s="3" t="s">
        <v>53</v>
      </c>
      <c r="R9" s="5">
        <v>15</v>
      </c>
      <c r="S9" s="5">
        <v>6</v>
      </c>
    </row>
    <row r="10" spans="1:19" x14ac:dyDescent="0.3">
      <c r="A10" s="4">
        <v>46031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 s="3" t="s">
        <v>47</v>
      </c>
      <c r="R10" s="5">
        <v>90</v>
      </c>
      <c r="S10" s="5">
        <v>12</v>
      </c>
    </row>
    <row r="11" spans="1:19" x14ac:dyDescent="0.3">
      <c r="A11" s="4">
        <v>46032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9" x14ac:dyDescent="0.3">
      <c r="A12" s="4">
        <v>46033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9" x14ac:dyDescent="0.3">
      <c r="A13" s="4">
        <v>46034</v>
      </c>
      <c r="B13">
        <v>3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</row>
    <row r="14" spans="1:19" x14ac:dyDescent="0.3">
      <c r="A14" s="4">
        <v>46035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9" x14ac:dyDescent="0.3">
      <c r="A15" s="4">
        <v>46036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9" x14ac:dyDescent="0.3">
      <c r="A16" s="4">
        <v>46037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4">
        <v>46038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s="4">
        <v>46039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4">
        <v>46040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s="4">
        <v>46041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s="4">
        <v>46042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s="4">
        <v>46043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s="4">
        <v>46044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4">
        <v>46045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4">
        <v>46046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4">
        <v>46047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4">
        <v>46048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4">
        <v>46049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s="4">
        <v>46050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s="4">
        <v>46051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4">
        <v>46052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4">
        <v>46053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s="4">
        <v>46054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4">
        <v>46055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s="4">
        <v>46056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s="4">
        <v>46057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s="4">
        <v>46058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s="4">
        <v>46059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s="4">
        <v>46060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s="4">
        <v>46061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s="4">
        <v>46062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4">
        <v>46063</v>
      </c>
      <c r="B42">
        <v>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s="4">
        <v>46064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s="4">
        <v>46065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s="4">
        <v>46066</v>
      </c>
      <c r="B45">
        <v>2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 x14ac:dyDescent="0.3">
      <c r="A46" s="4">
        <v>46067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4">
        <v>46068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s="4">
        <v>46069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s="4">
        <v>46070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s="4">
        <v>46071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s="4">
        <v>46072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4">
        <v>46073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4">
        <v>46074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4">
        <v>46075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4">
        <v>46076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4">
        <v>46077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4">
        <v>46078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s="4">
        <v>46079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s="4">
        <v>46080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4">
        <v>46081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">
      <c r="A61" s="4">
        <v>46082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s="4">
        <v>46083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s="4">
        <v>46084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s="4">
        <v>46085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s="4">
        <v>46086</v>
      </c>
      <c r="B65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s="4">
        <v>46087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s="4">
        <v>46088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4">
        <v>46089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s="4">
        <v>46090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4">
        <v>46091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4">
        <v>46092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s="4">
        <v>46093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s="4">
        <v>46094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s="4">
        <v>46095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4">
        <v>46096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s="4">
        <v>46097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s="4">
        <v>46098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s="4">
        <v>46099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3">
      <c r="A79" s="4">
        <v>46100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s="4">
        <v>46101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">
      <c r="A81" s="4">
        <v>46102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s="4">
        <v>46103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s="4">
        <v>46104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s="4">
        <v>46105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s="4">
        <v>46106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s="4">
        <v>46107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s="4">
        <v>46108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s="4">
        <v>46109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s="4">
        <v>46110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s="4">
        <v>46111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s="4">
        <v>46112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s="4">
        <v>46113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s="4">
        <v>46114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">
      <c r="A94" s="4">
        <v>46115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">
      <c r="A95" s="4">
        <v>46116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s="4">
        <v>46117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s="4">
        <v>46118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s="4">
        <v>46119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s="4">
        <v>46120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s="4">
        <v>46121</v>
      </c>
      <c r="B100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s="4">
        <v>46122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s="4">
        <v>46123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 s="4">
        <v>46124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 s="4">
        <v>46125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s="4">
        <v>46126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">
      <c r="A106" s="4">
        <v>46127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 s="4">
        <v>46128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s="4">
        <v>46129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 s="4">
        <v>46130</v>
      </c>
      <c r="B109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s="4">
        <v>46131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">
      <c r="A111" s="4">
        <v>46132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">
      <c r="A112" s="4">
        <v>46133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s="4">
        <v>46134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s="4">
        <v>46135</v>
      </c>
      <c r="B114">
        <v>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 s="4">
        <v>46136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">
      <c r="A116" s="4">
        <v>46137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">
      <c r="A117" s="4">
        <v>46138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">
      <c r="A118" s="4">
        <v>46139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s="4">
        <v>46140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">
      <c r="A120" s="4">
        <v>46141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s="4">
        <v>46142</v>
      </c>
      <c r="B121">
        <v>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s="4">
        <v>46143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s="4">
        <v>46144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 s="4">
        <v>46145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s="4">
        <v>46146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s="4">
        <v>46147</v>
      </c>
      <c r="B126">
        <v>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">
      <c r="A127" s="4">
        <v>46148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">
      <c r="A128" s="4">
        <v>46149</v>
      </c>
      <c r="B128">
        <v>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 s="4">
        <v>46150</v>
      </c>
      <c r="B129">
        <v>6</v>
      </c>
      <c r="C129">
        <v>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</v>
      </c>
    </row>
    <row r="130" spans="1:15" x14ac:dyDescent="0.3">
      <c r="A130" s="4">
        <v>46151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s="4">
        <v>46152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">
      <c r="A132" s="4">
        <v>46153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">
      <c r="A133" s="4">
        <v>46154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">
      <c r="A134" s="4">
        <v>46155</v>
      </c>
      <c r="B134">
        <v>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">
      <c r="A135" s="4">
        <v>46156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">
      <c r="A136" s="4">
        <v>46157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">
      <c r="A137" s="4">
        <v>46158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">
      <c r="A138" s="4">
        <v>46159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">
      <c r="A139" s="4">
        <v>46160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">
      <c r="A140" s="4">
        <v>46161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">
      <c r="A141" s="4">
        <v>46162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">
      <c r="A142" s="4">
        <v>46163</v>
      </c>
      <c r="B142">
        <v>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">
      <c r="A143" s="4">
        <v>46164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">
      <c r="A144" s="4">
        <v>46165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">
      <c r="A145" s="4">
        <v>46166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">
      <c r="A146" s="4">
        <v>46167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">
      <c r="A147" s="4">
        <v>46168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">
      <c r="A148" s="4">
        <v>46169</v>
      </c>
      <c r="B148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">
      <c r="A149" s="4">
        <v>46170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">
      <c r="A150" s="4">
        <v>46171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">
      <c r="A151" s="4">
        <v>46172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">
      <c r="A152" s="4">
        <v>46173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">
      <c r="A153" s="4">
        <v>46174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">
      <c r="A154" s="4">
        <v>46175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">
      <c r="A155" s="4">
        <v>46176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s="4">
        <v>46177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">
      <c r="A157" s="4">
        <v>46178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">
      <c r="A158" s="4">
        <v>46179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">
      <c r="A159" s="4">
        <v>46180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 s="4">
        <v>46181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">
      <c r="A161" s="4">
        <v>46182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">
      <c r="A162" s="4">
        <v>46183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 s="4">
        <v>46184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 s="4">
        <v>46185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 s="4">
        <v>46186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">
      <c r="A166" s="4">
        <v>46187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">
      <c r="A167" s="4">
        <v>46188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">
      <c r="A168" s="4">
        <v>46189</v>
      </c>
      <c r="B168">
        <v>3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">
      <c r="A169" s="4">
        <v>46190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 s="4">
        <v>46191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">
      <c r="A171" s="4">
        <v>46192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 s="4">
        <v>46193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">
      <c r="A173" s="4">
        <v>46194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">
      <c r="A174" s="4">
        <v>46195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">
      <c r="A175" s="4">
        <v>46196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">
      <c r="A176" s="4">
        <v>46197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">
      <c r="A177" s="4">
        <v>46198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">
      <c r="A178" s="4">
        <v>46199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 s="4">
        <v>46200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">
      <c r="A180" s="4">
        <v>46201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">
      <c r="A181" s="4">
        <v>46202</v>
      </c>
      <c r="B181" s="1">
        <v>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</sheetData>
  <sortState ref="A2:B181">
    <sortCondition ref="A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CD35-62C6-45B0-8FF2-FB4EAE2F6FFA}">
  <dimension ref="A1:I32"/>
  <sheetViews>
    <sheetView workbookViewId="0"/>
  </sheetViews>
  <sheetFormatPr defaultRowHeight="16.5" x14ac:dyDescent="0.3"/>
  <cols>
    <col min="1" max="1" width="9.875" bestFit="1" customWidth="1"/>
  </cols>
  <sheetData>
    <row r="1" spans="1:9" x14ac:dyDescent="0.3">
      <c r="A1" t="s">
        <v>14</v>
      </c>
      <c r="B1" t="s">
        <v>1</v>
      </c>
      <c r="C1" t="s">
        <v>44</v>
      </c>
      <c r="D1" t="s">
        <v>6</v>
      </c>
      <c r="E1" t="s">
        <v>45</v>
      </c>
      <c r="F1" t="s">
        <v>11</v>
      </c>
      <c r="G1" t="s">
        <v>12</v>
      </c>
      <c r="H1" t="s">
        <v>13</v>
      </c>
      <c r="I1" t="s">
        <v>0</v>
      </c>
    </row>
    <row r="2" spans="1:9" x14ac:dyDescent="0.3">
      <c r="A2" t="s">
        <v>15</v>
      </c>
      <c r="B2"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16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17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18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19</v>
      </c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20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21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22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3">
      <c r="A10" t="s">
        <v>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24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25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26</v>
      </c>
      <c r="B13">
        <v>16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27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28</v>
      </c>
      <c r="B15">
        <v>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29</v>
      </c>
      <c r="B16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30</v>
      </c>
      <c r="B17">
        <v>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31</v>
      </c>
      <c r="B18">
        <v>13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32</v>
      </c>
      <c r="B19">
        <v>16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33</v>
      </c>
      <c r="B20">
        <v>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34</v>
      </c>
      <c r="B21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35</v>
      </c>
      <c r="B22">
        <v>21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</row>
    <row r="23" spans="1:9" x14ac:dyDescent="0.3">
      <c r="A23" t="s">
        <v>36</v>
      </c>
      <c r="B23">
        <v>18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37</v>
      </c>
      <c r="B24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38</v>
      </c>
      <c r="B25">
        <v>21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39</v>
      </c>
      <c r="B26">
        <v>17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40</v>
      </c>
      <c r="B27">
        <v>20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41</v>
      </c>
      <c r="B28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42</v>
      </c>
      <c r="B29">
        <v>18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43</v>
      </c>
      <c r="B30">
        <v>14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3">
      <c r="A31" t="s">
        <v>80</v>
      </c>
      <c r="B31">
        <v>23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</row>
    <row r="32" spans="1:9" x14ac:dyDescent="0.3">
      <c r="A32" t="s">
        <v>55</v>
      </c>
      <c r="B32">
        <f>SUM(B2:B31)</f>
        <v>329</v>
      </c>
      <c r="C32">
        <v>3</v>
      </c>
      <c r="D32">
        <v>0</v>
      </c>
      <c r="E32">
        <v>0</v>
      </c>
      <c r="F32">
        <v>0</v>
      </c>
      <c r="G32">
        <v>0</v>
      </c>
      <c r="H32">
        <v>0</v>
      </c>
      <c r="I32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CFDF-5FBB-4EF6-A7C1-9CCFAECE0156}">
  <dimension ref="B2:N31"/>
  <sheetViews>
    <sheetView showGridLines="0" tabSelected="1" workbookViewId="0"/>
  </sheetViews>
  <sheetFormatPr defaultRowHeight="16.5" x14ac:dyDescent="0.3"/>
  <cols>
    <col min="1" max="1" width="7.125" customWidth="1"/>
    <col min="10" max="10" width="10.25" bestFit="1" customWidth="1"/>
  </cols>
  <sheetData>
    <row r="2" spans="2:14" ht="24" x14ac:dyDescent="0.3">
      <c r="B2" s="8" t="s">
        <v>77</v>
      </c>
    </row>
    <row r="3" spans="2:14" ht="11.25" customHeight="1" x14ac:dyDescent="0.3">
      <c r="B3" s="8"/>
    </row>
    <row r="4" spans="2:14" x14ac:dyDescent="0.3">
      <c r="B4" s="34" t="s">
        <v>69</v>
      </c>
      <c r="C4" s="34"/>
      <c r="D4" s="34"/>
      <c r="E4" s="34"/>
      <c r="G4" s="34" t="s">
        <v>68</v>
      </c>
      <c r="H4" s="34"/>
      <c r="I4" s="34"/>
      <c r="J4" s="34"/>
    </row>
    <row r="5" spans="2:14" x14ac:dyDescent="0.3">
      <c r="B5" s="9" t="s">
        <v>57</v>
      </c>
      <c r="C5" s="9" t="s">
        <v>58</v>
      </c>
      <c r="D5" s="9" t="s">
        <v>59</v>
      </c>
      <c r="E5" s="9" t="s">
        <v>60</v>
      </c>
      <c r="G5" s="9" t="s">
        <v>57</v>
      </c>
      <c r="H5" s="9" t="s">
        <v>58</v>
      </c>
      <c r="I5" s="9" t="s">
        <v>59</v>
      </c>
      <c r="J5" s="9" t="s">
        <v>60</v>
      </c>
    </row>
    <row r="6" spans="2:14" x14ac:dyDescent="0.3">
      <c r="B6" s="25" t="s">
        <v>48</v>
      </c>
      <c r="C6" s="26">
        <v>8</v>
      </c>
      <c r="D6" s="26">
        <v>1</v>
      </c>
      <c r="E6" s="12">
        <f>D6/C6</f>
        <v>0.125</v>
      </c>
      <c r="G6" s="25" t="s">
        <v>48</v>
      </c>
      <c r="H6" s="9" t="s">
        <v>78</v>
      </c>
      <c r="I6" s="9" t="s">
        <v>78</v>
      </c>
      <c r="J6" s="9" t="s">
        <v>78</v>
      </c>
    </row>
    <row r="7" spans="2:14" x14ac:dyDescent="0.3">
      <c r="B7" s="25" t="s">
        <v>49</v>
      </c>
      <c r="C7" s="26">
        <v>7</v>
      </c>
      <c r="D7" s="26">
        <v>1</v>
      </c>
      <c r="E7" s="12">
        <f t="shared" ref="E7:E11" si="0">D7/C7</f>
        <v>0.14285714285714285</v>
      </c>
      <c r="G7" s="25" t="s">
        <v>49</v>
      </c>
      <c r="H7" s="9" t="s">
        <v>78</v>
      </c>
      <c r="I7" s="9" t="s">
        <v>78</v>
      </c>
      <c r="J7" s="9" t="s">
        <v>78</v>
      </c>
    </row>
    <row r="8" spans="2:14" x14ac:dyDescent="0.3">
      <c r="B8" s="25" t="s">
        <v>50</v>
      </c>
      <c r="C8" s="26">
        <v>8</v>
      </c>
      <c r="D8" s="26">
        <v>1</v>
      </c>
      <c r="E8" s="12">
        <f t="shared" si="0"/>
        <v>0.125</v>
      </c>
      <c r="G8" s="25" t="s">
        <v>50</v>
      </c>
      <c r="H8" s="9" t="s">
        <v>78</v>
      </c>
      <c r="I8" s="9" t="s">
        <v>78</v>
      </c>
      <c r="J8" s="9" t="s">
        <v>78</v>
      </c>
    </row>
    <row r="9" spans="2:14" x14ac:dyDescent="0.3">
      <c r="B9" s="25" t="s">
        <v>51</v>
      </c>
      <c r="C9" s="26">
        <v>21</v>
      </c>
      <c r="D9" s="26">
        <v>0</v>
      </c>
      <c r="E9" s="12">
        <f t="shared" si="0"/>
        <v>0</v>
      </c>
      <c r="G9" s="25" t="s">
        <v>51</v>
      </c>
      <c r="H9" s="9" t="s">
        <v>78</v>
      </c>
      <c r="I9" s="9" t="s">
        <v>78</v>
      </c>
      <c r="J9" s="9" t="s">
        <v>78</v>
      </c>
    </row>
    <row r="10" spans="2:14" x14ac:dyDescent="0.3">
      <c r="B10" s="25" t="s">
        <v>52</v>
      </c>
      <c r="C10" s="26">
        <v>31</v>
      </c>
      <c r="D10" s="26">
        <v>3</v>
      </c>
      <c r="E10" s="12">
        <f t="shared" si="0"/>
        <v>9.6774193548387094E-2</v>
      </c>
      <c r="G10" s="25" t="s">
        <v>52</v>
      </c>
      <c r="H10" s="9" t="s">
        <v>78</v>
      </c>
      <c r="I10" s="9" t="s">
        <v>78</v>
      </c>
      <c r="J10" s="9" t="s">
        <v>78</v>
      </c>
    </row>
    <row r="11" spans="2:14" x14ac:dyDescent="0.3">
      <c r="B11" s="27" t="s">
        <v>53</v>
      </c>
      <c r="C11" s="28">
        <v>16</v>
      </c>
      <c r="D11" s="28">
        <v>0</v>
      </c>
      <c r="E11" s="29">
        <f t="shared" si="0"/>
        <v>0</v>
      </c>
      <c r="G11" s="27" t="s">
        <v>53</v>
      </c>
      <c r="H11" s="30">
        <v>329</v>
      </c>
      <c r="I11" s="31">
        <v>4</v>
      </c>
      <c r="J11" s="32">
        <f>I11/H11</f>
        <v>1.2158054711246201E-2</v>
      </c>
    </row>
    <row r="12" spans="2:14" x14ac:dyDescent="0.3">
      <c r="B12" s="15"/>
      <c r="C12" s="16"/>
      <c r="D12" s="16"/>
      <c r="E12" s="7"/>
      <c r="G12" s="15"/>
      <c r="H12" s="17"/>
      <c r="I12" s="18"/>
      <c r="J12" s="19"/>
    </row>
    <row r="13" spans="2:14" x14ac:dyDescent="0.3">
      <c r="B13" s="10" t="s">
        <v>75</v>
      </c>
      <c r="C13" s="11" t="s">
        <v>72</v>
      </c>
      <c r="D13" s="11" t="s">
        <v>73</v>
      </c>
      <c r="E13" s="12" t="s">
        <v>74</v>
      </c>
      <c r="G13" s="15"/>
      <c r="H13" s="17"/>
      <c r="I13" s="18"/>
      <c r="J13" s="19"/>
    </row>
    <row r="14" spans="2:14" x14ac:dyDescent="0.3">
      <c r="B14" s="21" t="s">
        <v>58</v>
      </c>
      <c r="C14" s="22">
        <v>31</v>
      </c>
      <c r="D14" s="22">
        <v>329</v>
      </c>
      <c r="E14" s="23">
        <f>(D14-C14)/C14</f>
        <v>9.612903225806452</v>
      </c>
      <c r="N14" s="6"/>
    </row>
    <row r="15" spans="2:14" x14ac:dyDescent="0.3">
      <c r="B15" s="14"/>
      <c r="C15" s="20"/>
      <c r="D15" s="20"/>
      <c r="E15" s="6"/>
      <c r="N15" s="6"/>
    </row>
    <row r="16" spans="2:14" x14ac:dyDescent="0.3">
      <c r="B16" s="14" t="s">
        <v>71</v>
      </c>
    </row>
    <row r="17" spans="2:7" x14ac:dyDescent="0.3">
      <c r="B17" s="33" t="s">
        <v>79</v>
      </c>
    </row>
    <row r="18" spans="2:7" x14ac:dyDescent="0.3">
      <c r="B18" s="33"/>
    </row>
    <row r="19" spans="2:7" x14ac:dyDescent="0.3">
      <c r="B19" s="33"/>
    </row>
    <row r="21" spans="2:7" ht="24" x14ac:dyDescent="0.3">
      <c r="B21" s="8" t="s">
        <v>70</v>
      </c>
    </row>
    <row r="22" spans="2:7" x14ac:dyDescent="0.3">
      <c r="B22" s="24" t="s">
        <v>65</v>
      </c>
      <c r="C22" t="s">
        <v>76</v>
      </c>
    </row>
    <row r="23" spans="2:7" x14ac:dyDescent="0.3">
      <c r="B23" t="s">
        <v>66</v>
      </c>
    </row>
    <row r="25" spans="2:7" x14ac:dyDescent="0.3">
      <c r="B25" s="35" t="s">
        <v>61</v>
      </c>
      <c r="C25" s="35" t="s">
        <v>64</v>
      </c>
      <c r="D25" s="35" t="s">
        <v>58</v>
      </c>
      <c r="E25" s="35" t="s">
        <v>59</v>
      </c>
      <c r="F25" s="35" t="s">
        <v>67</v>
      </c>
      <c r="G25" s="35" t="s">
        <v>60</v>
      </c>
    </row>
    <row r="26" spans="2:7" x14ac:dyDescent="0.3">
      <c r="B26" s="9" t="s">
        <v>62</v>
      </c>
      <c r="C26" s="9">
        <v>700</v>
      </c>
      <c r="D26" s="11">
        <v>8</v>
      </c>
      <c r="E26" s="11">
        <v>1</v>
      </c>
      <c r="F26" s="13">
        <f>D26/C26</f>
        <v>1.1428571428571429E-2</v>
      </c>
      <c r="G26" s="13">
        <f>E26/D26</f>
        <v>0.125</v>
      </c>
    </row>
    <row r="27" spans="2:7" x14ac:dyDescent="0.3">
      <c r="B27" s="9" t="s">
        <v>63</v>
      </c>
      <c r="C27" s="9">
        <v>499</v>
      </c>
      <c r="D27" s="11">
        <v>7</v>
      </c>
      <c r="E27" s="11">
        <v>1</v>
      </c>
      <c r="F27" s="13">
        <f t="shared" ref="F27:F31" si="1">D27/C27</f>
        <v>1.4028056112224449E-2</v>
      </c>
      <c r="G27" s="13">
        <f t="shared" ref="G27:G31" si="2">E27/D27</f>
        <v>0.14285714285714285</v>
      </c>
    </row>
    <row r="28" spans="2:7" x14ac:dyDescent="0.3">
      <c r="B28" s="9" t="s">
        <v>50</v>
      </c>
      <c r="C28" s="9">
        <v>429</v>
      </c>
      <c r="D28" s="11">
        <v>8</v>
      </c>
      <c r="E28" s="11">
        <v>1</v>
      </c>
      <c r="F28" s="13">
        <f t="shared" si="1"/>
        <v>1.8648018648018648E-2</v>
      </c>
      <c r="G28" s="13">
        <f t="shared" si="2"/>
        <v>0.125</v>
      </c>
    </row>
    <row r="29" spans="2:7" x14ac:dyDescent="0.3">
      <c r="B29" s="9" t="s">
        <v>51</v>
      </c>
      <c r="C29" s="9">
        <v>451</v>
      </c>
      <c r="D29" s="11">
        <v>21</v>
      </c>
      <c r="E29" s="11">
        <v>0</v>
      </c>
      <c r="F29" s="13">
        <f t="shared" si="1"/>
        <v>4.6563192904656318E-2</v>
      </c>
      <c r="G29" s="13">
        <f t="shared" si="2"/>
        <v>0</v>
      </c>
    </row>
    <row r="30" spans="2:7" x14ac:dyDescent="0.3">
      <c r="B30" s="9" t="s">
        <v>52</v>
      </c>
      <c r="C30" s="9">
        <v>429</v>
      </c>
      <c r="D30" s="11">
        <v>31</v>
      </c>
      <c r="E30" s="11">
        <v>3</v>
      </c>
      <c r="F30" s="13">
        <f t="shared" si="1"/>
        <v>7.2261072261072257E-2</v>
      </c>
      <c r="G30" s="13">
        <f t="shared" si="2"/>
        <v>9.6774193548387094E-2</v>
      </c>
    </row>
    <row r="31" spans="2:7" x14ac:dyDescent="0.3">
      <c r="B31" s="9" t="s">
        <v>53</v>
      </c>
      <c r="C31" s="9">
        <v>510</v>
      </c>
      <c r="D31" s="11">
        <v>16</v>
      </c>
      <c r="E31" s="11">
        <v>4</v>
      </c>
      <c r="F31" s="13">
        <f t="shared" si="1"/>
        <v>3.1372549019607843E-2</v>
      </c>
      <c r="G31" s="13">
        <f t="shared" si="2"/>
        <v>0.25</v>
      </c>
    </row>
  </sheetData>
  <mergeCells count="2">
    <mergeCell ref="B4:E4"/>
    <mergeCell ref="G4:J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AI 도입 전 성과(5o)</vt:lpstr>
      <vt:lpstr>ai 도입 후 클릭수</vt:lpstr>
      <vt:lpstr>전환수 비교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carpia b</dc:creator>
  <cp:lastModifiedBy>carpia b</cp:lastModifiedBy>
  <dcterms:created xsi:type="dcterms:W3CDTF">2026-06-29T07:11:10Z</dcterms:created>
  <dcterms:modified xsi:type="dcterms:W3CDTF">2026-07-06T03:18:47Z</dcterms:modified>
</cp:coreProperties>
</file>